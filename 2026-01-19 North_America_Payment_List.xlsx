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connectglobal-my.sharepoint.com/personal/xin_lim_weconnect_co/Documents/3. Engagement/1. Tenstorrent Canada/Jan 13 Bank recon/"/>
    </mc:Choice>
  </mc:AlternateContent>
  <xr:revisionPtr revIDLastSave="12" documentId="8_{241DACC8-C831-40C0-B278-E5ACCC969BF7}" xr6:coauthVersionLast="47" xr6:coauthVersionMax="47" xr10:uidLastSave="{3C3434D5-8FE2-4B6B-8A47-DF165AD6F5FF}"/>
  <bookViews>
    <workbookView xWindow="13755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Sheet1!$A$1:$AD$1495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98" i="1"/>
  <c r="Q1387" i="1"/>
  <c r="Q1388" i="1"/>
  <c r="Q1389" i="1"/>
  <c r="Q1390" i="1"/>
  <c r="Q1391" i="1"/>
  <c r="Q1392" i="1"/>
  <c r="Q1393" i="1"/>
  <c r="Q1394" i="1"/>
  <c r="Q1395" i="1"/>
  <c r="Q1396" i="1"/>
  <c r="Q1397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98" i="1"/>
  <c r="P1387" i="1"/>
  <c r="P1388" i="1"/>
  <c r="P1389" i="1"/>
  <c r="P1390" i="1"/>
  <c r="P1391" i="1"/>
  <c r="P1392" i="1"/>
  <c r="P1393" i="1"/>
  <c r="P1394" i="1"/>
  <c r="P1395" i="1"/>
  <c r="P1396" i="1"/>
  <c r="P1397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2" i="1"/>
</calcChain>
</file>

<file path=xl/sharedStrings.xml><?xml version="1.0" encoding="utf-8"?>
<sst xmlns="http://schemas.openxmlformats.org/spreadsheetml/2006/main" count="16152" uniqueCount="3146">
  <si>
    <t>Entity</t>
    <phoneticPr fontId="3"/>
  </si>
  <si>
    <t>Date</t>
  </si>
  <si>
    <t>Transaction type</t>
  </si>
  <si>
    <t>#</t>
  </si>
  <si>
    <t>Supplier display name</t>
  </si>
  <si>
    <t xml:space="preserve">Vendor </t>
    <phoneticPr fontId="3"/>
  </si>
  <si>
    <t>Memo/Description</t>
  </si>
  <si>
    <t>Due date</t>
  </si>
  <si>
    <t>Past due</t>
  </si>
  <si>
    <t>Amount</t>
  </si>
  <si>
    <t>Open balance</t>
  </si>
  <si>
    <t>Foreign amount</t>
  </si>
  <si>
    <t>Foreign open balance</t>
  </si>
  <si>
    <t>Line currency</t>
  </si>
  <si>
    <t>Exchange rate</t>
  </si>
  <si>
    <t>data</t>
  </si>
  <si>
    <t>Invoice Owner</t>
  </si>
  <si>
    <t>Validation of Receipt of Benefits
(confirm goods received, confirm services rendered, confirm invoice is accurate, etc)</t>
  </si>
  <si>
    <t>Payment status</t>
  </si>
  <si>
    <t>Date Goods/Services Received</t>
  </si>
  <si>
    <t>Primary Beneficiary Validator</t>
  </si>
  <si>
    <t>Date Invoice Received to AP Emails</t>
  </si>
  <si>
    <t>Payment Terms per the Agreement</t>
  </si>
  <si>
    <t>Due Date based on Goods Received</t>
  </si>
  <si>
    <t>Prepayment / Exception Approval Required (Y/N)</t>
  </si>
  <si>
    <t>PO (Y/N)</t>
  </si>
  <si>
    <t>Ageing</t>
  </si>
  <si>
    <t>Notes</t>
  </si>
  <si>
    <t>Finance Comments</t>
  </si>
  <si>
    <t>TTI</t>
    <phoneticPr fontId="3"/>
  </si>
  <si>
    <t>04/15/2024</t>
  </si>
  <si>
    <t>Expense</t>
  </si>
  <si>
    <t/>
  </si>
  <si>
    <t>Telecom By Design</t>
  </si>
  <si>
    <t xml:space="preserve">Telecom </t>
  </si>
  <si>
    <t>duplicate payment</t>
  </si>
  <si>
    <t>CAD</t>
  </si>
  <si>
    <t>Grace Cho</t>
  </si>
  <si>
    <t>Credit Memo</t>
  </si>
  <si>
    <t>CM</t>
  </si>
  <si>
    <t>Credit</t>
  </si>
  <si>
    <t>11/07/2024</t>
  </si>
  <si>
    <t>Bill Payment (Cheque)</t>
  </si>
  <si>
    <t>Server Supply (USD)</t>
  </si>
  <si>
    <t>Server S</t>
  </si>
  <si>
    <t>USD</t>
  </si>
  <si>
    <t>01/06/2025</t>
  </si>
  <si>
    <t>Exxact Corporation (USD)</t>
  </si>
  <si>
    <t>Exxact C</t>
  </si>
  <si>
    <t>duplicate payment of invoice IN376225</t>
  </si>
  <si>
    <t>05/12/2025</t>
  </si>
  <si>
    <t>Journal Entry</t>
  </si>
  <si>
    <t>2025-1887</t>
  </si>
  <si>
    <t>Digi-key Electronics (USD)</t>
  </si>
  <si>
    <t>Digi-key</t>
  </si>
  <si>
    <t>To record TTU payment on behalf of TTI</t>
  </si>
  <si>
    <t>06/02/2025</t>
  </si>
  <si>
    <t>FS TECH PTE. LTD (USD)</t>
  </si>
  <si>
    <t xml:space="preserve">FS TECH </t>
  </si>
  <si>
    <t>Anita Ajiyen</t>
  </si>
  <si>
    <t>Approved</t>
  </si>
  <si>
    <t>06/04/2025</t>
  </si>
  <si>
    <t>Rippling</t>
  </si>
  <si>
    <t>over-debit by rippling</t>
  </si>
  <si>
    <t>06/16/2025</t>
  </si>
  <si>
    <t>Digi-key Electronics</t>
  </si>
  <si>
    <t>prepaid on PO-4500000361</t>
  </si>
  <si>
    <t>Y</t>
  </si>
  <si>
    <t>05/26/2025</t>
  </si>
  <si>
    <t>Bill</t>
  </si>
  <si>
    <t>91908818</t>
  </si>
  <si>
    <t>Cadence Design Systems Inc. (USD)</t>
  </si>
  <si>
    <t xml:space="preserve">Cadence </t>
  </si>
  <si>
    <t>06/25/2025</t>
  </si>
  <si>
    <t>Warren Van Drine</t>
  </si>
  <si>
    <t>**What PO **</t>
  </si>
  <si>
    <t>06/01/2025</t>
  </si>
  <si>
    <t>1342864</t>
  </si>
  <si>
    <t>Quench Canada Inc.</t>
  </si>
  <si>
    <t>Quench C</t>
  </si>
  <si>
    <t>Water Dispenser Rent - 06/01/2025 08/31/2025</t>
  </si>
  <si>
    <t>07/01/2025</t>
  </si>
  <si>
    <t>Stacey Troster</t>
  </si>
  <si>
    <t>No PO</t>
  </si>
  <si>
    <t>N</t>
  </si>
  <si>
    <t>90+ days</t>
  </si>
  <si>
    <t>Do not pay - paid on CC</t>
  </si>
  <si>
    <t>07/14/2025</t>
  </si>
  <si>
    <t>Synergy Circuits (USD)</t>
  </si>
  <si>
    <t xml:space="preserve">Synergy </t>
  </si>
  <si>
    <t>203006457 SYNERGY CIRCUITS, LNC 1620 OAKLAND RD, D107, SAN JOSE, CALIFORNIA 95131 US</t>
  </si>
  <si>
    <t>Parth Modi</t>
  </si>
  <si>
    <t>07/18/2025</t>
  </si>
  <si>
    <t>N.F. Smith &amp; Associates, L.P. (USD)</t>
  </si>
  <si>
    <t>N.F. Smi</t>
  </si>
  <si>
    <t>3342417 N.F. SMITH AND ASSOCIATES, L.P. 5306 HOLLISTER RD. HOUSTON, TX, US</t>
  </si>
  <si>
    <t>11/01/2025</t>
  </si>
  <si>
    <t>2507095TSN-S</t>
  </si>
  <si>
    <t>Koolance (USD)</t>
  </si>
  <si>
    <t>Koolance</t>
  </si>
  <si>
    <t>PO4500000359
2507095TSN FedEx shipping Fee</t>
  </si>
  <si>
    <t>07/29/2025</t>
  </si>
  <si>
    <t xml:space="preserve">Pay Jan 12th 
</t>
  </si>
  <si>
    <t>08/05/2025</t>
  </si>
  <si>
    <t>Descartes (USD)</t>
  </si>
  <si>
    <t>Descarte</t>
  </si>
  <si>
    <t>08/08/2025</t>
  </si>
  <si>
    <t>prepayment</t>
  </si>
  <si>
    <t>07/10/2025</t>
  </si>
  <si>
    <t>91908942</t>
  </si>
  <si>
    <t>08/09/2025</t>
  </si>
  <si>
    <t>08/12/2025</t>
  </si>
  <si>
    <t>2025-3304</t>
  </si>
  <si>
    <t>SILVERSTONE TECHNOLOGY INC. (USD)</t>
  </si>
  <si>
    <t>SILVERST</t>
  </si>
  <si>
    <t>To record the PIA of general raw materials.</t>
  </si>
  <si>
    <t>07/16/2025</t>
  </si>
  <si>
    <t>91908951</t>
  </si>
  <si>
    <t>PO4500000510
Description: 18% Margin on Wafers-PO30867</t>
  </si>
  <si>
    <t>08/15/2025</t>
  </si>
  <si>
    <t>07/28/2025</t>
  </si>
  <si>
    <t>68770729</t>
  </si>
  <si>
    <t>WPG Americas Inc. (USD)</t>
  </si>
  <si>
    <t>WPG Amer</t>
  </si>
  <si>
    <t>PO 4500000530 K4ZAF325BC-SC16000 SAMSUNG MEMORY COO:KOR ECCN:EAR99</t>
  </si>
  <si>
    <t>08/27/2025</t>
  </si>
  <si>
    <t>07/31/2025</t>
  </si>
  <si>
    <t>70515965</t>
  </si>
  <si>
    <t>Synopsys Inc. (USD)</t>
  </si>
  <si>
    <t>Synopsys</t>
  </si>
  <si>
    <t>P.O. 4500000761</t>
  </si>
  <si>
    <t>08/30/2025</t>
  </si>
  <si>
    <t>Tanya Bischoff</t>
  </si>
  <si>
    <t>08/06/2025</t>
  </si>
  <si>
    <t>FLSI-706210</t>
  </si>
  <si>
    <t>Farrow Logistics Solutions Inc.</t>
  </si>
  <si>
    <t>Farrow L</t>
  </si>
  <si>
    <t>PO4500000604
Jul, 2025 - Outbound Handling Fees- Mississauga, Transportation Fees - Mississauga, Inbound Handling Fees- Mississauga, Rebillable Supplies - Mississauga, Value Added Service, Freight LTL, System Maintenance Fee, Occupancy Fees - Mississauga</t>
  </si>
  <si>
    <t>09/05/2025</t>
  </si>
  <si>
    <t>David Pippa</t>
  </si>
  <si>
    <t>Work with Dave Pippa</t>
  </si>
  <si>
    <t>0932128419</t>
  </si>
  <si>
    <t>SuperMicro (USD)</t>
  </si>
  <si>
    <t>SuperMic</t>
  </si>
  <si>
    <t>PO4500000192
OPTIMIZED H14DSH, CSE-HS201-R000NP (Hyper)
AS -2126HS-TN(x20)H14DSH,
CSE-HS201-R000NP (Hyper)
8471.49.0000 / 5A992Z1</t>
  </si>
  <si>
    <t>09/11/2025</t>
  </si>
  <si>
    <t>Sam Huffman</t>
  </si>
  <si>
    <t>60 to 90 days</t>
  </si>
  <si>
    <t>08/20/2025</t>
  </si>
  <si>
    <t>CB00472038</t>
  </si>
  <si>
    <t>SHI Canada ULC</t>
  </si>
  <si>
    <t>SHI Cana</t>
  </si>
  <si>
    <t>PO-31072 - Fortinet FortiGate 1800F - security appliance -  with 3 years  Hardware</t>
  </si>
  <si>
    <t>09/19/2025</t>
  </si>
  <si>
    <t>Anita</t>
  </si>
  <si>
    <t>Received</t>
  </si>
  <si>
    <t>FedEx</t>
  </si>
  <si>
    <t>08/26/2025</t>
  </si>
  <si>
    <t>91909014</t>
  </si>
  <si>
    <t>PO4500000872
WAFER, 5MM, BLACKHOLE</t>
  </si>
  <si>
    <t>09/25/2025</t>
  </si>
  <si>
    <t>**This PO is Cancelled **</t>
  </si>
  <si>
    <t xml:space="preserve"> </t>
  </si>
  <si>
    <t>CB00472543</t>
  </si>
  <si>
    <t>PO4500000888
Red Hat Enterprise Linux Server for HPC Head
Node - standard
Multiple platforms English Optl upd via downld
Software
Maintenance From date: 8/16/2025
Maintenance To date: 8/15/2026
Proof of Previous Purchase: 11944709</t>
  </si>
  <si>
    <t>09/26/2025</t>
  </si>
  <si>
    <t>Ky Ma</t>
  </si>
  <si>
    <t>09/01/2025</t>
  </si>
  <si>
    <t>91909016</t>
  </si>
  <si>
    <t>09/27/2025</t>
  </si>
  <si>
    <t>PO?</t>
  </si>
  <si>
    <t>635040</t>
  </si>
  <si>
    <t>PO-4500000825
Micron Technology</t>
  </si>
  <si>
    <t>10/01/2025</t>
  </si>
  <si>
    <t>1361700</t>
  </si>
  <si>
    <t>Water Dispenser Rent - 09/01/2025 - 11/30/2025</t>
  </si>
  <si>
    <t>90300385</t>
  </si>
  <si>
    <t>Jamf (USD)</t>
  </si>
  <si>
    <t>Jamf (US</t>
  </si>
  <si>
    <t>2025_Genieall</t>
  </si>
  <si>
    <t>Genieall</t>
  </si>
  <si>
    <t>Reclassification for overpayment to Genieall due to duplicate invoice</t>
  </si>
  <si>
    <t>389.</t>
  </si>
  <si>
    <t>Bishop Immigration</t>
  </si>
  <si>
    <t>Bishop I</t>
  </si>
  <si>
    <t>PO4500000461 Approved J Yu. Shimpei work permit. To rerecord invoice whose payment got returned</t>
  </si>
  <si>
    <t>Shelagh Schiro</t>
  </si>
  <si>
    <t>Deposit</t>
  </si>
  <si>
    <t>payment for invoice 389 was returned. Bill still open</t>
  </si>
  <si>
    <t>2025-2621</t>
  </si>
  <si>
    <t>To reallocate Cadence invoices after reconciliation.</t>
  </si>
  <si>
    <t>09/04/2025</t>
  </si>
  <si>
    <t>91909024</t>
  </si>
  <si>
    <t>PO4500000950
18% Margin on Wafers#100</t>
  </si>
  <si>
    <t>10/04/2025</t>
  </si>
  <si>
    <t>91909025</t>
  </si>
  <si>
    <t>PO4500000969
18% Margin on Wafers#100</t>
  </si>
  <si>
    <t>10/08/2025</t>
  </si>
  <si>
    <t>25206120000026</t>
  </si>
  <si>
    <t>Digital Realty</t>
  </si>
  <si>
    <t xml:space="preserve">Digital </t>
  </si>
  <si>
    <t>Late Fee, Interest Fee</t>
  </si>
  <si>
    <t>Lisa Nicholson</t>
  </si>
  <si>
    <t>09/09/2025</t>
  </si>
  <si>
    <t>CB00473254</t>
  </si>
  <si>
    <t>PO4500000755
Eaton 23kW 220-240V 3PH Switched PDU - LX
Interface, Gigabit
Hardware Hardware</t>
  </si>
  <si>
    <t>10/09/2025</t>
  </si>
  <si>
    <t>Andrew Corriveau</t>
  </si>
  <si>
    <t>09/10/2025</t>
  </si>
  <si>
    <t>139067M</t>
  </si>
  <si>
    <t>Keysight (USD)</t>
  </si>
  <si>
    <t>Keysight</t>
  </si>
  <si>
    <t>PathWave ADS Core, EM Design,
HSD Ckt Sim
License certificate delivery - email only
Floating - worldwide subscription license, 12
months, KeysightCare software support, from
10-SEP-2025 to 09-SEP-2026</t>
  </si>
  <si>
    <t>10/10/2025</t>
  </si>
  <si>
    <t>Adrian Motamedi</t>
  </si>
  <si>
    <t>10/14/2025</t>
  </si>
  <si>
    <t>06/06/2025</t>
  </si>
  <si>
    <t>Supplier Credit</t>
  </si>
  <si>
    <t>FS TECH PTE. LTD</t>
  </si>
  <si>
    <t>08/01/2025</t>
  </si>
  <si>
    <t>C-FGL0002255</t>
  </si>
  <si>
    <t>Farrow Global Logistics (TTI/USD)</t>
  </si>
  <si>
    <t>Farrow G</t>
  </si>
  <si>
    <t>08/11/2025</t>
  </si>
  <si>
    <t>112456888-1</t>
  </si>
  <si>
    <t>112160727-1</t>
  </si>
  <si>
    <t>112459552-1</t>
  </si>
  <si>
    <t>115209670-1</t>
  </si>
  <si>
    <t>115209629-1</t>
  </si>
  <si>
    <t>NO RECORD - PLEASE HAVE VENDOR SEND THE INVOICES</t>
  </si>
  <si>
    <t>08/31/2025</t>
  </si>
  <si>
    <t>Altium (CAD)</t>
  </si>
  <si>
    <t>Altium (</t>
  </si>
  <si>
    <t>approved</t>
  </si>
  <si>
    <t>To account for erroneous payment.</t>
  </si>
  <si>
    <t>2025100043644</t>
  </si>
  <si>
    <t>Zayo Canada Inc.</t>
  </si>
  <si>
    <t>Zayo Can</t>
  </si>
  <si>
    <t>9116586739</t>
  </si>
  <si>
    <t>AVNET Inc. (USD)</t>
  </si>
  <si>
    <t>AVNET In</t>
  </si>
  <si>
    <t>PO 4500000134
05-00011-1
AHLNDYYYR-0001</t>
  </si>
  <si>
    <t>2464351</t>
  </si>
  <si>
    <t>ArentFox Schiff (USD)</t>
  </si>
  <si>
    <t>ArentFox</t>
  </si>
  <si>
    <t>Reversal: Professional Services Rendered Through July 31, 2025
Re: Export controls and economic sanctions</t>
  </si>
  <si>
    <t>Andy Wall</t>
  </si>
  <si>
    <t>2414367</t>
  </si>
  <si>
    <t>Reversal: Professional Services Rendered Through February 28, 2025
Re: Export controls and economic sanctions</t>
  </si>
  <si>
    <t>09/15/2025</t>
  </si>
  <si>
    <t>0932146971</t>
  </si>
  <si>
    <t>PO4500000314
OPTIMIZED X12DPG-QT6-P;
747BTS-R2K20BP, HF,RoHS/REACH
SYS-740GP-TNRT(x45)X12DPG-QT6-P;
747BTS-R2K20BP, HF,RoHS/REACH
8471.49.0000 / 5A992C</t>
  </si>
  <si>
    <t>10/15/2025</t>
  </si>
  <si>
    <t>0932146972</t>
  </si>
  <si>
    <t>PO4500000314
OPTIMIZED X12DPG-QT6-P;
747BTS-R2K20BP, HF,RoHS/REACH
SYS-740GP-TNRT(x12)X12DPG-QT6-P;
747BTS-R2K20BP, HF,RoHS/REACH
8471.49.0000 / 5A992C</t>
  </si>
  <si>
    <t>0932146977</t>
  </si>
  <si>
    <t>PO4500000256
OPTIMIZED X13 4U
4GPU,X13DEG-QT-P,749TS-R2K05B,RoHS
SYS-741GE-TNRT(x67)X13 4U
4GPU,X13DEG-QT-P,749TS-R2K05B,RoHS
8471.49.0000 / 5A992Z1</t>
  </si>
  <si>
    <t>09/17/2025</t>
  </si>
  <si>
    <t>10988</t>
  </si>
  <si>
    <t>PO4500000491
PCB Layout and gerber generation</t>
  </si>
  <si>
    <t>10/17/2025</t>
  </si>
  <si>
    <t>09/18/2025</t>
  </si>
  <si>
    <t>116360083</t>
  </si>
  <si>
    <t>HEAVY DUTY POWER CORD 14AWG</t>
  </si>
  <si>
    <t>10/18/2025</t>
  </si>
  <si>
    <t>09/22/2025</t>
  </si>
  <si>
    <t>CB00474020</t>
  </si>
  <si>
    <t>PO4500001107
APC NetShelter Rack PDU Advanced - Gen 2 - power distributio
Hardware Hardware</t>
  </si>
  <si>
    <t>10/22/2025</t>
  </si>
  <si>
    <t>TY25080558</t>
  </si>
  <si>
    <t>Teyu Chiller</t>
  </si>
  <si>
    <t>Teyu Chi</t>
  </si>
  <si>
    <t>PO 4500000910
Industrial water chiller (USD 2,380)</t>
  </si>
  <si>
    <t>10/23/2025</t>
  </si>
  <si>
    <t>1018954534</t>
  </si>
  <si>
    <t>Dell Canada</t>
  </si>
  <si>
    <t>Dell Can</t>
  </si>
  <si>
    <t>ProDeploy Plus Addon for PowerStore File
ProDeploy Software Installation</t>
  </si>
  <si>
    <t>Not IT</t>
  </si>
  <si>
    <t>70515966</t>
  </si>
  <si>
    <t>10/29/2025</t>
  </si>
  <si>
    <t>09/29/2025</t>
  </si>
  <si>
    <t>10009250008634</t>
  </si>
  <si>
    <t>SAP</t>
  </si>
  <si>
    <t>SAP - Grow with Sap S/4hana (29. Sept. 2025 - 28. Sept.
2026)</t>
  </si>
  <si>
    <t>Shihaab Vepari</t>
  </si>
  <si>
    <t>10009250008635</t>
  </si>
  <si>
    <t>SAP Integration Suite, basic edition (29. Sept. 2025 - 28. Sept. 2026)</t>
  </si>
  <si>
    <t>09/30/2025</t>
  </si>
  <si>
    <t>10574</t>
  </si>
  <si>
    <t>Alphawave IP Inc. (USD)</t>
  </si>
  <si>
    <t>Alphawav</t>
  </si>
  <si>
    <t>PO-30983
SOW #2: Earlier of (1) silicon back (i.e., Licensee’s receipt of first silicon) of the Retained Chiplet or (2) September 30, 2025</t>
  </si>
  <si>
    <t>10/30/2025</t>
  </si>
  <si>
    <t>Mike Smith</t>
  </si>
  <si>
    <t>70518272</t>
  </si>
  <si>
    <t>P.O. 4500001140
HW0969-0
ZS5 Module
Maintenance 01/06/26-01/05/27
HW0970-0
ZS5 System Hub
HW0970-0-M
Maintenance
Item Category: Time-based
HW0975-0
ZS5 Rack - 4 Unit
HW0975-0-M
Maintenance
Item Category: Time-based
HW0977-0
ZS5 Power Supply
HW0977-0-M
Maintenance
Item Category: Time-based</t>
  </si>
  <si>
    <t>CTRLHUB-3136</t>
  </si>
  <si>
    <t>ControlHub</t>
  </si>
  <si>
    <t>ControlH</t>
  </si>
  <si>
    <t>ControlHub Subscription, Advanced Users (Free) and Advanced Users (Billable) (Oct 1 – Oct 31, 2025)</t>
  </si>
  <si>
    <t>10/31/2025</t>
  </si>
  <si>
    <t>91239514</t>
  </si>
  <si>
    <t>NTT Data Business Solutions Incorporated</t>
  </si>
  <si>
    <t>NTT Data</t>
  </si>
  <si>
    <t>PO4500000597
SAP AMS Apr2025-Jul2026 
Consulting fixed price Hotline
09/01/2025 to 09/30/2025</t>
  </si>
  <si>
    <t>Kaushal Sakhia</t>
  </si>
  <si>
    <t>VN145170032</t>
  </si>
  <si>
    <t>PricewaterhouseCoopers (PWC)</t>
  </si>
  <si>
    <t>Pricewat</t>
  </si>
  <si>
    <t>FEE FOR PROFESSIONAL TAX SERVICES RENDERED for the
period ended October 26, 2025</t>
  </si>
  <si>
    <t>10/02/2025</t>
  </si>
  <si>
    <t>MC11037895</t>
  </si>
  <si>
    <t>Apple</t>
  </si>
  <si>
    <t>PO-4500001159, ACE MBP16" APPLE SILICON T1 AMI+ 48M-
PHX</t>
  </si>
  <si>
    <t>140010 - Nov'25</t>
  </si>
  <si>
    <t>Sunlife</t>
  </si>
  <si>
    <t>Health Plan - Nov25, approved Jessica Yu</t>
  </si>
  <si>
    <t>Lindsay Wiens</t>
  </si>
  <si>
    <t>CB00476855</t>
  </si>
  <si>
    <t>SHI Canada (USD)</t>
  </si>
  <si>
    <t>PO4500001375
Ubiquiti UniFi E7 - wireless access point - Wi-Fi 7
 Hardware Hardware</t>
  </si>
  <si>
    <t>4216</t>
  </si>
  <si>
    <t>ventureLAB</t>
  </si>
  <si>
    <t>ventureL</t>
  </si>
  <si>
    <t>ventureLAB Hardware Engineering Dedicated Lab - Tenstorrent (May 16th, 2025 - January 31st, 2026): CAD $28,333</t>
  </si>
  <si>
    <t>4217</t>
  </si>
  <si>
    <t>5178</t>
  </si>
  <si>
    <t>Canadian Instrumentation Services Group Ltd.</t>
  </si>
  <si>
    <t>Canadian</t>
  </si>
  <si>
    <t>PO 4500000284
Calibration Charges see Attached</t>
  </si>
  <si>
    <t>Shresta Gourishetty</t>
  </si>
  <si>
    <t>10/03/2025</t>
  </si>
  <si>
    <t>2908331974</t>
  </si>
  <si>
    <t>ASE Test, Inc (USD)</t>
  </si>
  <si>
    <t>ASE Test</t>
  </si>
  <si>
    <t>PO- 30895
Blackhole.A0.FT6RT</t>
  </si>
  <si>
    <t>11/02/2025</t>
  </si>
  <si>
    <t>2908332785</t>
  </si>
  <si>
    <t>PO- 30895
28-00005-1</t>
  </si>
  <si>
    <t>2908333588</t>
  </si>
  <si>
    <t>5177</t>
  </si>
  <si>
    <t>PO 4500000475
Calibration Charges see Attached</t>
  </si>
  <si>
    <t>Alan Wu</t>
  </si>
  <si>
    <t>87883</t>
  </si>
  <si>
    <t>Alfa Tech Consulting Enterprises</t>
  </si>
  <si>
    <t>Alfa Tec</t>
  </si>
  <si>
    <t>PO 4500000971
Tenstorrent TI, 5000 Yonge St, Floors 19, 20, 21 &amp; part of 22</t>
  </si>
  <si>
    <t>2908334729</t>
  </si>
  <si>
    <t>11/03/2025</t>
  </si>
  <si>
    <t>2908335435</t>
  </si>
  <si>
    <t>10/05/2025</t>
  </si>
  <si>
    <t>10009250009031</t>
  </si>
  <si>
    <t>SAP Watch List Screening (01. Oct. 2025 - 30. Sept. 2026)</t>
  </si>
  <si>
    <t>11/04/2025</t>
  </si>
  <si>
    <t>2908336835</t>
  </si>
  <si>
    <t>PO- 30895
28-00004-1, 28-00005-1</t>
  </si>
  <si>
    <t>2908336554</t>
  </si>
  <si>
    <t>PO- 30895
Bake+ DRY PACK
FT1 FINAL TEST
FT7 FINAL TEST
100% LEAD SCAN 1</t>
  </si>
  <si>
    <t>0932174982</t>
  </si>
  <si>
    <t>Genoa X 9384X DP/UP 32C/64T 3.10G
768M 320W SP5 3D V-cache
8542.31.0045 / 5A992C</t>
  </si>
  <si>
    <t>10/06/2025</t>
  </si>
  <si>
    <t>116861891</t>
  </si>
  <si>
    <t>BGA-24 TO DIP-24 SMT ADAPTER</t>
  </si>
  <si>
    <t>11/05/2025</t>
  </si>
  <si>
    <t>91909091</t>
  </si>
  <si>
    <t>PO30968
Software Order - Standard FTA</t>
  </si>
  <si>
    <t>2908329519</t>
  </si>
  <si>
    <t>2908338274</t>
  </si>
  <si>
    <t>PO- 30895
Blackhole.A0.FT5RT</t>
  </si>
  <si>
    <t>2908338966</t>
  </si>
  <si>
    <t>10/07/2025</t>
  </si>
  <si>
    <t>91909111</t>
  </si>
  <si>
    <t>PO30114
FTA and eDACards</t>
  </si>
  <si>
    <t>11/06/2025</t>
  </si>
  <si>
    <t>0932159660</t>
  </si>
  <si>
    <t>Samsung PM9A3 3.8TB NVMe PCIe4x4 U.2
7mm 1DWPD 5YR SED Opal
8523.51.0000 / 5A992C</t>
  </si>
  <si>
    <t>IN062510070221</t>
  </si>
  <si>
    <t>PO-4500001114
transceivers-does not emit radio
Switch: S3900-48T6S-R
10m (33ft) MTP® Jumper, MTP®-12 UPC
4m (13ft) MTP® Jumper, MTP®-12 UPC
3m (10ft) MTP® Jumper, MTP®-12 UPC</t>
  </si>
  <si>
    <t>29752</t>
  </si>
  <si>
    <t>Interlock IT</t>
  </si>
  <si>
    <t>Interloc</t>
  </si>
  <si>
    <t>PO 4500000743
Microsoft Office 365</t>
  </si>
  <si>
    <t>Ryan Coburn</t>
  </si>
  <si>
    <t>0000869025</t>
  </si>
  <si>
    <t>Daiwa Distribution (Ontario) Inc (USD)</t>
  </si>
  <si>
    <t>Daiwa Di</t>
  </si>
  <si>
    <t>PO4500000442 E7, POWER-MPZ-G002-AFAP-BUS</t>
  </si>
  <si>
    <t>2908341555</t>
  </si>
  <si>
    <t>PO- 30895
28-00004-1</t>
  </si>
  <si>
    <t>11/07/2025</t>
  </si>
  <si>
    <t>0002061</t>
  </si>
  <si>
    <t>Lights On Software</t>
  </si>
  <si>
    <t>Lights O</t>
  </si>
  <si>
    <t>PO 4500000850
Software Development</t>
  </si>
  <si>
    <t>Zeb Zigler</t>
  </si>
  <si>
    <t>Approved in 12-08 file</t>
  </si>
  <si>
    <t>0002059</t>
  </si>
  <si>
    <t>PO 4500000690
Software Development</t>
  </si>
  <si>
    <t>Sterling Taylor</t>
  </si>
  <si>
    <t>0002060</t>
  </si>
  <si>
    <t>PO 4500000671
Software Development</t>
  </si>
  <si>
    <t>0002063</t>
  </si>
  <si>
    <t>PO 4500000850
Time</t>
  </si>
  <si>
    <t>17103425</t>
  </si>
  <si>
    <t>Uline</t>
  </si>
  <si>
    <t>Anita - ANTI-STATIC BUBBLE WRAP® STRONG BUBBLE
ROLL - 3/16", 24" X 750', PERFORATED
REPLACEMENT BLADES FOR 2" ULINE TOP GUN TAPE DISPENSER</t>
  </si>
  <si>
    <t>109956</t>
  </si>
  <si>
    <t>PO4500000491
Controller Card Schematic and BOM creation
I/O Card Schematic and BOM Creation</t>
  </si>
  <si>
    <t>11/08/2025</t>
  </si>
  <si>
    <t>2908343081</t>
  </si>
  <si>
    <t>2908345425</t>
  </si>
  <si>
    <t>PO- 30895
FT1 FINAL TEST
FT6 FINAL TEST</t>
  </si>
  <si>
    <t>CA014089213</t>
  </si>
  <si>
    <t>Jones Lang LaSalle Real Estate Services, Inc.</t>
  </si>
  <si>
    <t>Jones La</t>
  </si>
  <si>
    <t>Project Management Fees September 2025</t>
  </si>
  <si>
    <t>This is approved for payment by Erik 12/08 - awaiting banking</t>
  </si>
  <si>
    <t>1909624986</t>
  </si>
  <si>
    <t>PO- 30934
Blackhole.A0.PA</t>
  </si>
  <si>
    <t>11/09/2025</t>
  </si>
  <si>
    <t>1909625360</t>
  </si>
  <si>
    <t>2908348214</t>
  </si>
  <si>
    <t>PO- 30860
CP1 Wafer sort</t>
  </si>
  <si>
    <t>10/11/2025</t>
  </si>
  <si>
    <t>2908349289</t>
  </si>
  <si>
    <t>11/10/2025</t>
  </si>
  <si>
    <t>2908350711</t>
  </si>
  <si>
    <t>PO- 30895
Bake+ DRY PACK
FT1 FINAL TEST
FT5 FINAL TEST
100% LEAD SCAN 1</t>
  </si>
  <si>
    <t>29698</t>
  </si>
  <si>
    <t>PO4500000679
Google Workspace Enterprise Standard</t>
  </si>
  <si>
    <t>IST2025110030</t>
  </si>
  <si>
    <t>Integrated Services Technology Inc</t>
  </si>
  <si>
    <t>Integrat</t>
  </si>
  <si>
    <t>SAT Testing</t>
  </si>
  <si>
    <t>IST2025110031</t>
  </si>
  <si>
    <t>PRECON-MSL4, SAT, UHAST, TCT, HTST</t>
  </si>
  <si>
    <t>10/12/2025</t>
  </si>
  <si>
    <t>2908351254</t>
  </si>
  <si>
    <t>11/11/2025</t>
  </si>
  <si>
    <t>30 to 60 days</t>
  </si>
  <si>
    <t>2908351584</t>
  </si>
  <si>
    <t>10/13/2025</t>
  </si>
  <si>
    <t>2908353217</t>
  </si>
  <si>
    <t>11/12/2025</t>
  </si>
  <si>
    <t>0 to 30 days</t>
  </si>
  <si>
    <t>2908354158</t>
  </si>
  <si>
    <t>2025-A-469</t>
  </si>
  <si>
    <t>European Recycling Platform (USD)</t>
  </si>
  <si>
    <t>European</t>
  </si>
  <si>
    <t>Q2&amp;Q3 authorized representative fee - WEEE</t>
  </si>
  <si>
    <t>11/13/2025</t>
  </si>
  <si>
    <t>Ramya Muddada</t>
  </si>
  <si>
    <t>1909634226</t>
  </si>
  <si>
    <t>2908355560</t>
  </si>
  <si>
    <t>PO- 30895
Bake+ DRY PACK
FT1 FINAL TEST
FT6 FINAL TEST
100% LEAD SCAN 1</t>
  </si>
  <si>
    <t>2908355666</t>
  </si>
  <si>
    <t>2908355955</t>
  </si>
  <si>
    <t>2908356299</t>
  </si>
  <si>
    <t>0002066</t>
  </si>
  <si>
    <t>29748</t>
  </si>
  <si>
    <t>NCE Microsoft Entra ID P2 - Monthly Commitment</t>
  </si>
  <si>
    <t>CCR-054095</t>
  </si>
  <si>
    <t>2-676-41473</t>
  </si>
  <si>
    <t>Reversal: 2-676-41473</t>
  </si>
  <si>
    <t>Reversal: CB00476855</t>
  </si>
  <si>
    <t>88186</t>
  </si>
  <si>
    <t>Reversal: 88186</t>
  </si>
  <si>
    <t>88454</t>
  </si>
  <si>
    <t>Reversal: 88454</t>
  </si>
  <si>
    <t>D54382</t>
  </si>
  <si>
    <t>Britacan Facilities Management Group Inc.</t>
  </si>
  <si>
    <t>Britacan</t>
  </si>
  <si>
    <t>PO4500001235
2025-9186 Programming/Planning</t>
  </si>
  <si>
    <t>11/14/2025</t>
  </si>
  <si>
    <t xml:space="preserve">Lisa Nicholson </t>
  </si>
  <si>
    <t>Toronto Office build</t>
  </si>
  <si>
    <t>91005488</t>
  </si>
  <si>
    <t>Annual Fee WEEE</t>
  </si>
  <si>
    <t>91881461</t>
  </si>
  <si>
    <t>AT&amp;S Austria Technologie &amp; Systemtechnik</t>
  </si>
  <si>
    <t>AT&amp;S Aus</t>
  </si>
  <si>
    <t>PO4500000711
BLACKHOLE</t>
  </si>
  <si>
    <t>91881462</t>
  </si>
  <si>
    <t>NIDJP2025101401PM1</t>
  </si>
  <si>
    <t>NIDEC CHAUN-CHOUNG TECHNOLOGY CORPORATION (USD)</t>
  </si>
  <si>
    <t>NIDEC CH</t>
  </si>
  <si>
    <t>$72,415.39</t>
  </si>
  <si>
    <t>Alfa Tech Consulting Enterprises (USD)</t>
  </si>
  <si>
    <t>ZZZFS25110081</t>
  </si>
  <si>
    <t>NTK Technologies Limited</t>
  </si>
  <si>
    <t>NTK Tech</t>
  </si>
  <si>
    <t>PO 4500001468
p150d pressure test Fixture and X-CLIP samples</t>
  </si>
  <si>
    <t>10/16/2025</t>
  </si>
  <si>
    <t>2908360051</t>
  </si>
  <si>
    <t>11/15/2025</t>
  </si>
  <si>
    <t>2908361683</t>
  </si>
  <si>
    <t>USPDS167788</t>
  </si>
  <si>
    <t>Jones Lang LaSalle Americas, Inc. (USD)</t>
  </si>
  <si>
    <t>September 2025 Project Management Fee</t>
  </si>
  <si>
    <t>20250815-tenstorrent-</t>
  </si>
  <si>
    <t>MSSCORPS CO., LTD</t>
  </si>
  <si>
    <t>MSSCORPS</t>
  </si>
  <si>
    <t>PO 4500001285
MK4 LU test (ambient)</t>
  </si>
  <si>
    <t>11/16/2025</t>
  </si>
  <si>
    <t>Judo Lemuel</t>
  </si>
  <si>
    <t>IN062510170100</t>
  </si>
  <si>
    <t>PO-4500001209
transceivers-does not emit radio
40m 40m (131ft) MTP® Jumper,
25m 25m (82ft) MTP® Jumper, MTP®-12</t>
  </si>
  <si>
    <t>1909645112</t>
  </si>
  <si>
    <t>2908363771</t>
  </si>
  <si>
    <t>PO- 30895
Bake+ DRY PACK
FT1 FINAL TEST 
FT6 FINAL TEST 
100% LEAD SCAN 1</t>
  </si>
  <si>
    <t>CDW Canada</t>
  </si>
  <si>
    <t>CDW Cana</t>
  </si>
  <si>
    <t>overpayment due to invoice paid 11/10 still showing on 11/17 payment list.</t>
  </si>
  <si>
    <t>1909646713</t>
  </si>
  <si>
    <t>11/17/2025</t>
  </si>
  <si>
    <t>2908366381</t>
  </si>
  <si>
    <t>2908366584</t>
  </si>
  <si>
    <t>PRA25+0007404</t>
  </si>
  <si>
    <t>LM TEK, d.o.o.</t>
  </si>
  <si>
    <t xml:space="preserve">LM TEK, </t>
  </si>
  <si>
    <t>EK-Quantum Velocity3 1700/1851/AM5 - Plexi</t>
  </si>
  <si>
    <t>10/20/2025</t>
  </si>
  <si>
    <t>93847714</t>
  </si>
  <si>
    <t>Celestica International LP</t>
  </si>
  <si>
    <t>Celestic</t>
  </si>
  <si>
    <t>PO 4500001065
Z-ESQM 
TOL2508008 Tenstorrent CL 2DXray</t>
  </si>
  <si>
    <t>11/19/2025</t>
  </si>
  <si>
    <t>IN1684244</t>
  </si>
  <si>
    <t>Ceridian Canada (Dayforce)</t>
  </si>
  <si>
    <t>Ceridian</t>
  </si>
  <si>
    <t>PO 4500000947
Dayforce Monthly Extended Fee - After Cancellation
Service Period: 10/1/2025 - 10/31/2025</t>
  </si>
  <si>
    <t>2908369503</t>
  </si>
  <si>
    <t>PO-30895
FT1 FINAL TEST
FT5 FINAL TEST</t>
  </si>
  <si>
    <t>10/21/2025</t>
  </si>
  <si>
    <t>117316211</t>
  </si>
  <si>
    <t>ST-LINK V3 PROG FOR STM32</t>
  </si>
  <si>
    <t>11/20/2025</t>
  </si>
  <si>
    <t>1909654296</t>
  </si>
  <si>
    <t>PO4500000677
Blackhole LB Supporter</t>
  </si>
  <si>
    <t>1909655064</t>
  </si>
  <si>
    <t>2908373103</t>
  </si>
  <si>
    <t>PO-30895
Blackhole.A0.FT6RT</t>
  </si>
  <si>
    <t>0932167666</t>
  </si>
  <si>
    <t>11/21/2025</t>
  </si>
  <si>
    <t>ML402307</t>
  </si>
  <si>
    <t>Megalab Group Inc.</t>
  </si>
  <si>
    <t xml:space="preserve">Megalab </t>
  </si>
  <si>
    <t>EMC Prescan (Full-day)</t>
  </si>
  <si>
    <t>330-13404730</t>
  </si>
  <si>
    <t>TTM Technologies Trading (Asia) Company Limited</t>
  </si>
  <si>
    <t>TTM Tech</t>
  </si>
  <si>
    <t>81756974 - 330 TENSTORRENT INC 03-
00037-2(Orion_SLT-2)-
Invoice Comment:
- 03-00037-2(Orion_SLT-2)</t>
  </si>
  <si>
    <t>11/22/2025</t>
  </si>
  <si>
    <t>1909659917</t>
  </si>
  <si>
    <t>11/24/2025</t>
  </si>
  <si>
    <t>FER150-11937</t>
  </si>
  <si>
    <t>Amexon Property Management</t>
  </si>
  <si>
    <t>Amexon P</t>
  </si>
  <si>
    <t>Monthly Parking, Visitor Parking &amp; Access Cards</t>
  </si>
  <si>
    <t>11/25/2025</t>
  </si>
  <si>
    <t>NW_TST_01</t>
  </si>
  <si>
    <t>NeuronicWorks Inc.</t>
  </si>
  <si>
    <t>Neuronic</t>
  </si>
  <si>
    <t>X Ray analysis to look into BGA solder deformities for Boards</t>
  </si>
  <si>
    <t>25-0871</t>
  </si>
  <si>
    <t>Genomic Precision Fabricators</t>
  </si>
  <si>
    <t xml:space="preserve">Genomic </t>
  </si>
  <si>
    <t>PO-4500001528, AS-ROCK B850M IO SHIELD HOLE REWORK</t>
  </si>
  <si>
    <t>2206653</t>
  </si>
  <si>
    <t>Fasken</t>
  </si>
  <si>
    <t>PO4500000402
For Professional Services rendered through October 31, 2025</t>
  </si>
  <si>
    <t>2206650</t>
  </si>
  <si>
    <t>10/27/2025</t>
  </si>
  <si>
    <t>SI117542</t>
  </si>
  <si>
    <t>Microart Services</t>
  </si>
  <si>
    <t>Microart</t>
  </si>
  <si>
    <t>PO-4500000571
Tenstorrent - 65-00059-2 (Warp 100 Bridge)</t>
  </si>
  <si>
    <t>11/26/2025</t>
  </si>
  <si>
    <t>130676</t>
  </si>
  <si>
    <t>Vexos (USD)</t>
  </si>
  <si>
    <t>Vexos (U</t>
  </si>
  <si>
    <t>PO-4500001312
Z-TENST 65-0000D-3 Rev 2 (11/20/2024)</t>
  </si>
  <si>
    <t>7654126</t>
  </si>
  <si>
    <t>Russell A. Farrow Limited (TTI)</t>
  </si>
  <si>
    <t xml:space="preserve">Russell </t>
  </si>
  <si>
    <t>Brokerage, release and communication fee</t>
  </si>
  <si>
    <t>7654534</t>
  </si>
  <si>
    <t>7653976</t>
  </si>
  <si>
    <t>7653930</t>
  </si>
  <si>
    <t>7653942</t>
  </si>
  <si>
    <t>7654363</t>
  </si>
  <si>
    <t>2908385235</t>
  </si>
  <si>
    <t>PO 4500001243
Professional Services for the Period:October 1, 2025 to October 31, 2025</t>
  </si>
  <si>
    <t>10/28/2025</t>
  </si>
  <si>
    <t>2908388370</t>
  </si>
  <si>
    <t>11/27/2025</t>
  </si>
  <si>
    <t>2908388771</t>
  </si>
  <si>
    <t>IESI274312</t>
  </si>
  <si>
    <t>Select</t>
  </si>
  <si>
    <t>PO4500001330
MacBook Pro 16-inch, Apple M4 Pro Chip, 14C CPU, 
20C GPU, 24GB UM, 512GB SSD - Space Black</t>
  </si>
  <si>
    <t>EUR</t>
  </si>
  <si>
    <t>0000869748</t>
  </si>
  <si>
    <t>PO4500001535 
OCEAN FREIGHT LCL
MISCELLANEOUS</t>
  </si>
  <si>
    <t>IN062510290076</t>
  </si>
  <si>
    <t>PO-4500001286
30m 30m (98ft) MTP® Jumper, MTP®-12
20m 20m (66ft) MTP® Jumper, MTP®-12
10m (33ft) MTP® Jumper, MTP®-12</t>
  </si>
  <si>
    <t>11/28/2025</t>
  </si>
  <si>
    <t>17877188</t>
  </si>
  <si>
    <t>Samtec (USD)</t>
  </si>
  <si>
    <t>Samtec (</t>
  </si>
  <si>
    <t>PO-4500001299</t>
  </si>
  <si>
    <t>ML402345</t>
  </si>
  <si>
    <t>PO4500001225
Temperature Testing</t>
  </si>
  <si>
    <t>91909140</t>
  </si>
  <si>
    <t>PO31084
Wormhole B0</t>
  </si>
  <si>
    <t>FGL0004458</t>
  </si>
  <si>
    <t>Farrow Global Logistics (TTI)</t>
  </si>
  <si>
    <t>Air Freight , Terminal, Nav Canada, eManifest, Handling &amp; Documentation, Delivery</t>
  </si>
  <si>
    <t>7665496</t>
  </si>
  <si>
    <t>7665488</t>
  </si>
  <si>
    <t>0002074</t>
  </si>
  <si>
    <t>0002073</t>
  </si>
  <si>
    <t>0002072</t>
  </si>
  <si>
    <t>208756</t>
  </si>
  <si>
    <t>Gorilla Circuits</t>
  </si>
  <si>
    <t xml:space="preserve">Gorilla </t>
  </si>
  <si>
    <t>FRONT IO BOARD</t>
  </si>
  <si>
    <t>20251128M09</t>
  </si>
  <si>
    <t>Quanta Computer (USD)</t>
  </si>
  <si>
    <t>Quanta C</t>
  </si>
  <si>
    <t>PO - 4500001525
PSU (to India):PSU 4000W AC 68 TI F</t>
  </si>
  <si>
    <t>Jerry Tsao</t>
  </si>
  <si>
    <t>20251128M10</t>
  </si>
  <si>
    <t>PO - 4500001538
WH Galaxy_PDB to Austin:1HYJZZZ 064F S7T</t>
  </si>
  <si>
    <t>INV-0023</t>
  </si>
  <si>
    <t>Harikoa Design Limited (NZD)</t>
  </si>
  <si>
    <t xml:space="preserve">Harikoa </t>
  </si>
  <si>
    <t>Taiwan Trip Expenses for Philip Isaacs
EXP-00035
PO-4500001560</t>
  </si>
  <si>
    <t>NZD</t>
  </si>
  <si>
    <t>0002075</t>
  </si>
  <si>
    <t>11/29/2025</t>
  </si>
  <si>
    <t>0002076</t>
  </si>
  <si>
    <t>2908393417</t>
  </si>
  <si>
    <t>PO-30895
Bake+ DRY PACK
FT1 FINAL TEST
FT5 FINAL TEST
100% LEAD SCAN 1</t>
  </si>
  <si>
    <t>639438</t>
  </si>
  <si>
    <t>PO-4500001105
MICRON TECHNOLOGY</t>
  </si>
  <si>
    <t>130779</t>
  </si>
  <si>
    <t>PO-4500000480
Z-TENST TW-02002 Rev 06 (10/30/25)</t>
  </si>
  <si>
    <t>130763</t>
  </si>
  <si>
    <t>PO-4500001168
Z-TENST 01-00037-2 REV 3 (10/30/25)</t>
  </si>
  <si>
    <t>130758</t>
  </si>
  <si>
    <t>PO-65000500
Z-TENST SHOPIFY ORDER FULFILMENT (10/29/25)</t>
  </si>
  <si>
    <t>130757</t>
  </si>
  <si>
    <t>PO-4500001217
B650-PLUS ASUS (10/29/25)
RYZEN 5 8500G AMD (10/29/25)
CP2K16G60C36U5B CRUCIAL(10/29/25)
990 PRO SSD 1TB SAMSUNG (10/29/25)</t>
  </si>
  <si>
    <t>1909675770</t>
  </si>
  <si>
    <t>PO-30934
Blackhole.A0.PA</t>
  </si>
  <si>
    <t>1909676263</t>
  </si>
  <si>
    <t>1909677758</t>
  </si>
  <si>
    <t>281125</t>
  </si>
  <si>
    <t>DP-25143</t>
  </si>
  <si>
    <t>I25602167</t>
  </si>
  <si>
    <t>Courier Network Inc.</t>
  </si>
  <si>
    <t xml:space="preserve">Courier </t>
  </si>
  <si>
    <t>Fuel Surcharge</t>
  </si>
  <si>
    <t>11/30/2025</t>
  </si>
  <si>
    <t>Is there an invoice I can see. That is a large fuel surcharge</t>
  </si>
  <si>
    <t>TTLOG-81</t>
  </si>
  <si>
    <t>1909678427</t>
  </si>
  <si>
    <t>130891</t>
  </si>
  <si>
    <t>PO-4500000480
Z-TENST TW-02002 Rev 06</t>
  </si>
  <si>
    <t>130890</t>
  </si>
  <si>
    <t>91252016</t>
  </si>
  <si>
    <t>PO4500001319
Tenstorrent Blue Cheetah rollout</t>
  </si>
  <si>
    <t>91250371</t>
  </si>
  <si>
    <t>PO4500000597
Tenstorrent SAP AMS Apr.1,2025</t>
  </si>
  <si>
    <t>0002077</t>
  </si>
  <si>
    <t>7674909</t>
  </si>
  <si>
    <t>7675464</t>
  </si>
  <si>
    <t>7674910</t>
  </si>
  <si>
    <t>7674896</t>
  </si>
  <si>
    <t>PO4500001375
Ubiquiti UniFi E7 - wireless access point - Wi-Fi 7
Hardware Hardware</t>
  </si>
  <si>
    <t>21543</t>
  </si>
  <si>
    <t>Easyline Express Inc.</t>
  </si>
  <si>
    <t>Easyline</t>
  </si>
  <si>
    <t>Shipping charges</t>
  </si>
  <si>
    <t>CTRLHUB-3171</t>
  </si>
  <si>
    <t>ControlHub Subscription, Advanced Users (Free) and Advanced Users (Billable) (Nov 1 – Nov 30, 2025)</t>
  </si>
  <si>
    <t>12/01/2025</t>
  </si>
  <si>
    <t>2908400156</t>
  </si>
  <si>
    <t>PO-30934
Bake+ DRY PACK
FT1 FINAL TEST
FT6 FINAL TEST
100% LEAD SCAN 1</t>
  </si>
  <si>
    <t>93230232</t>
  </si>
  <si>
    <t>Beanfield MetroConnect</t>
  </si>
  <si>
    <t>Beanfiel</t>
  </si>
  <si>
    <t>Full Cabinet - kW</t>
  </si>
  <si>
    <t>93230233</t>
  </si>
  <si>
    <t>PO-31095
Dedicated Fibre Ethernet Business Intern</t>
  </si>
  <si>
    <t>2025110043644</t>
  </si>
  <si>
    <t>Charges for Services From 11/01/2025 To 11/30/2025</t>
  </si>
  <si>
    <t>25206120000032</t>
  </si>
  <si>
    <t>Metered Power: S110 - Period 9/30/25 - 10/31/2025</t>
  </si>
  <si>
    <t>EA12012506</t>
  </si>
  <si>
    <t>Swiftech (Rouchon) (USD)</t>
  </si>
  <si>
    <t>Swiftech</t>
  </si>
  <si>
    <t>PO4500000883
PO4500000321
PO4500000974</t>
  </si>
  <si>
    <t>140010 - Dec25</t>
  </si>
  <si>
    <t>140010 - Dec25, approved Jessica Yu</t>
  </si>
  <si>
    <t>0002042</t>
  </si>
  <si>
    <t>PO4500000690
Software Development</t>
  </si>
  <si>
    <t>2908401483</t>
  </si>
  <si>
    <t>PO-30895
Bake+ DRY PACK
FT1 FINAL TEST
FT6 FINAL TEST
100% LEAD SCAN 1</t>
  </si>
  <si>
    <t>12/02/2025</t>
  </si>
  <si>
    <t>2908402083</t>
  </si>
  <si>
    <t>2-698-58822</t>
  </si>
  <si>
    <t>Disbursement Fee, Ancillary Service Fees and Merchandise Processing Fee</t>
  </si>
  <si>
    <t>20251202M11</t>
  </si>
  <si>
    <t>PO - 4500001567
WH ETH LK B (2x retimer) + PDB Rev C to</t>
  </si>
  <si>
    <t>1019018365</t>
  </si>
  <si>
    <t>Dell Canada Inc.</t>
  </si>
  <si>
    <t>PO-4500001294
ProSupport SONiC Lite 10G Sub Sftwr Spt-Maint</t>
  </si>
  <si>
    <t>4218</t>
  </si>
  <si>
    <t>20250916-001</t>
  </si>
  <si>
    <t>WaveFive (USD)</t>
  </si>
  <si>
    <t>WaveFive</t>
  </si>
  <si>
    <t>PO-31140
Co-Marketing Fund for one year. Oct. 1st 2025 ~ Sep. 30th 2026</t>
  </si>
  <si>
    <t>Zachari Warner</t>
  </si>
  <si>
    <t>QRJ2510170042</t>
  </si>
  <si>
    <t>Hordrt (USD)</t>
  </si>
  <si>
    <t>Hordrt (</t>
  </si>
  <si>
    <t>PO-4500001118</t>
  </si>
  <si>
    <t>QRJ2510130017</t>
  </si>
  <si>
    <t>PO-4500000583</t>
  </si>
  <si>
    <t>CA02-0031199</t>
  </si>
  <si>
    <t>Clyde &amp; Co Canada</t>
  </si>
  <si>
    <t xml:space="preserve">Clyde &amp; </t>
  </si>
  <si>
    <t>Professional Fees
Approved by Alexandar Munn</t>
  </si>
  <si>
    <t>205222</t>
  </si>
  <si>
    <t>PO4500000730
Coolant Temperature Sensor Plug, 10K Ohm</t>
  </si>
  <si>
    <t>113943</t>
  </si>
  <si>
    <t>PROMONT GROUP D.O.O.</t>
  </si>
  <si>
    <t>PO4500001455
Final Movenpick Hotel Bill</t>
  </si>
  <si>
    <t>RSD</t>
  </si>
  <si>
    <t>781125</t>
  </si>
  <si>
    <t>DISI-PERI Mgt Inc.</t>
  </si>
  <si>
    <t>PO4500001446
PO4500001394</t>
  </si>
  <si>
    <t>IN062511030021</t>
  </si>
  <si>
    <t>PO4500001365
3m Direct Attach Cable: QDD-400G-PC03</t>
  </si>
  <si>
    <t>12/03/2025</t>
  </si>
  <si>
    <t>2908403253</t>
  </si>
  <si>
    <t>PO-30895
FT1 FINAL TEST
FT6 FINAL TEST</t>
  </si>
  <si>
    <t>2908404503</t>
  </si>
  <si>
    <t>7679993</t>
  </si>
  <si>
    <t>7679920</t>
  </si>
  <si>
    <t>Brokerage and release fee</t>
  </si>
  <si>
    <t>7680070</t>
  </si>
  <si>
    <t>Brokerage and release</t>
  </si>
  <si>
    <t>11/18/2025</t>
  </si>
  <si>
    <t>2-698-82161</t>
  </si>
  <si>
    <t>VAT on Ancillary, Customs Duty, Original VAT, Disbursement, Ancillary Service Fees and Merchandise Processing Fee</t>
  </si>
  <si>
    <t>Dave Pippa</t>
  </si>
  <si>
    <t>IN400231</t>
  </si>
  <si>
    <t>PO4500000941
Crucial CT64G56C46U5T 64 GB
DDR5-5600MHz - 1.1V UDIMM
ECC Unbuffered Desktop Memory -
Tray</t>
  </si>
  <si>
    <t>12/04/2025</t>
  </si>
  <si>
    <t>FGL0004557</t>
  </si>
  <si>
    <t>1909690395</t>
  </si>
  <si>
    <t>7686032</t>
  </si>
  <si>
    <t>7685185</t>
  </si>
  <si>
    <t>7685129</t>
  </si>
  <si>
    <t>7685348</t>
  </si>
  <si>
    <t>7685386</t>
  </si>
  <si>
    <t>2908405636</t>
  </si>
  <si>
    <t>PO 30895
28-00002-1
Blackhole.A0.FT7EA</t>
  </si>
  <si>
    <t>2908406527</t>
  </si>
  <si>
    <t>PO 30895
Blackhole.A0.FT</t>
  </si>
  <si>
    <t>0002081</t>
  </si>
  <si>
    <t>0002082</t>
  </si>
  <si>
    <t>2-699-05229</t>
  </si>
  <si>
    <t>Disbursement Fee</t>
  </si>
  <si>
    <t>Duplicate payment of invoice 108321194</t>
  </si>
  <si>
    <t>CA02-0031412</t>
  </si>
  <si>
    <t>7689503</t>
  </si>
  <si>
    <t>12/05/2025</t>
  </si>
  <si>
    <t>7689389</t>
  </si>
  <si>
    <t>7689106</t>
  </si>
  <si>
    <t>FGL0004594</t>
  </si>
  <si>
    <t>Air Freight</t>
  </si>
  <si>
    <t>2908408457</t>
  </si>
  <si>
    <t>PO4500001218
Wormhole.A1.SL2 BINR</t>
  </si>
  <si>
    <t>91909151</t>
  </si>
  <si>
    <t>FLSI-706385</t>
  </si>
  <si>
    <t>PO4500000604
Transportation Fees - Mississauga</t>
  </si>
  <si>
    <t>7689641</t>
  </si>
  <si>
    <t>7689113</t>
  </si>
  <si>
    <t>2-699-22373</t>
  </si>
  <si>
    <t>Ancillary Service Fees and China VAT - Duty/Tax</t>
  </si>
  <si>
    <t>119459</t>
  </si>
  <si>
    <t>The Collective</t>
  </si>
  <si>
    <t>The Coll</t>
  </si>
  <si>
    <t>PO4500001490
Workstation &amp; Task Chairs</t>
  </si>
  <si>
    <t>119458</t>
  </si>
  <si>
    <t>PO4500001483
Workstation &amp; Task Chairs</t>
  </si>
  <si>
    <t>duplicate payment for invoice 2908247726</t>
  </si>
  <si>
    <t>FormFactor (USD)</t>
  </si>
  <si>
    <t>FormFact</t>
  </si>
  <si>
    <t>Duplicate payment of invoice 10539451</t>
  </si>
  <si>
    <t>2025-TTHDOC-0045</t>
  </si>
  <si>
    <t>Nenad Nedeljkovic (7190212 Canada Corp.)</t>
  </si>
  <si>
    <t>Nenad Ne</t>
  </si>
  <si>
    <t>PO4500000257 
IT Support Services for the period Period from Nov 24 2025 to Dec 5 2025.</t>
  </si>
  <si>
    <t>2025-TT-0171</t>
  </si>
  <si>
    <t>IN2512028-1</t>
  </si>
  <si>
    <t>PO-4500001350</t>
  </si>
  <si>
    <t>IN2512028-2</t>
  </si>
  <si>
    <t>9500026125</t>
  </si>
  <si>
    <t>Interplex (Suzhou) Precision Engineering Ltd.</t>
  </si>
  <si>
    <t>Interple</t>
  </si>
  <si>
    <t>PO4500001068
06-00138-1</t>
  </si>
  <si>
    <t>12/06/2025</t>
  </si>
  <si>
    <t>9500026124</t>
  </si>
  <si>
    <t>PO4500000629
06-00137-1</t>
  </si>
  <si>
    <t>7693406</t>
  </si>
  <si>
    <t>7693390</t>
  </si>
  <si>
    <t>7693397</t>
  </si>
  <si>
    <t>FGL0004610</t>
  </si>
  <si>
    <t>1909695999</t>
  </si>
  <si>
    <t>2908409822</t>
  </si>
  <si>
    <t>2908410214</t>
  </si>
  <si>
    <t>0002085</t>
  </si>
  <si>
    <t>10720</t>
  </si>
  <si>
    <t>Credo Technology (HK) Ltd. (USD)</t>
  </si>
  <si>
    <t>Credo Te</t>
  </si>
  <si>
    <t>PO4500001377
G3 AEC, 400G, DD-
DD, 16P, 32AWG, 1M,
CMIS 4.0, Shippable</t>
  </si>
  <si>
    <t>2-699-39183</t>
  </si>
  <si>
    <t>29904</t>
  </si>
  <si>
    <t>PO4500000743
Microsoft Office 365, Microsoft Intune Plan 1, Microsoft Defender for Endpoint P2, NCE Microsoft Entra ID P2, Microsoft Office 365 Extra File Storage</t>
  </si>
  <si>
    <t>FGL0004628</t>
  </si>
  <si>
    <t>12/07/2025</t>
  </si>
  <si>
    <t>7698471</t>
  </si>
  <si>
    <t>7698453</t>
  </si>
  <si>
    <t>7698519</t>
  </si>
  <si>
    <t>7699147</t>
  </si>
  <si>
    <t>7698512</t>
  </si>
  <si>
    <t>2908413099</t>
  </si>
  <si>
    <t>2908413831</t>
  </si>
  <si>
    <t>PO4500001218
Wormhole.A1.SL1</t>
  </si>
  <si>
    <t>10594</t>
  </si>
  <si>
    <t>PO4500001376
G3 AEC, 400G, DD-
DD, 16P, 32AWG, 1M,
CMIS 4.0, Shippable</t>
  </si>
  <si>
    <t>USPDS169306</t>
  </si>
  <si>
    <t>October 2025 Project Management Fee</t>
  </si>
  <si>
    <t>000088196</t>
  </si>
  <si>
    <t>PO4500001033
POWER-MPZ-G002-AFAP-BUS</t>
  </si>
  <si>
    <t>2908416041</t>
  </si>
  <si>
    <t>12/08/2025</t>
  </si>
  <si>
    <t>2908418194</t>
  </si>
  <si>
    <t>PO30895
28-00005-1</t>
  </si>
  <si>
    <t>12/09/2025</t>
  </si>
  <si>
    <t>2908418338</t>
  </si>
  <si>
    <t>PO30895
28-00004-1</t>
  </si>
  <si>
    <t>2908418339</t>
  </si>
  <si>
    <t>PO4500001218
28-00009-1</t>
  </si>
  <si>
    <t>2908418744</t>
  </si>
  <si>
    <t>PO4500001218
28-00010-1</t>
  </si>
  <si>
    <t>2908417035</t>
  </si>
  <si>
    <t>PO30895
28-00002-1</t>
  </si>
  <si>
    <t>2-699-58001</t>
  </si>
  <si>
    <t>2-699-76801</t>
  </si>
  <si>
    <t>VAT on Ancillary, Customs Duty, Original VAT, Disbursement Fee, China VAT - Duty/Tax, Merchandise Processing Fee</t>
  </si>
  <si>
    <t>JPC connectivity (USD)</t>
  </si>
  <si>
    <t>JPC conn</t>
  </si>
  <si>
    <t>To cover prepayment of POs 1453 and 1178</t>
  </si>
  <si>
    <t>28</t>
  </si>
  <si>
    <t>CA014091150</t>
  </si>
  <si>
    <t>Project Management Fees October 2025</t>
  </si>
  <si>
    <t>12/10/2025</t>
  </si>
  <si>
    <t>2908419227</t>
  </si>
  <si>
    <t>PO-30895
Blackhole.A0.FT5RT</t>
  </si>
  <si>
    <t>2908419653</t>
  </si>
  <si>
    <t>2908419654</t>
  </si>
  <si>
    <t>PO4500001218
FT5 FINAL TEST</t>
  </si>
  <si>
    <t>2908420513</t>
  </si>
  <si>
    <t>2908420891</t>
  </si>
  <si>
    <t>2908421170</t>
  </si>
  <si>
    <t>PO-30860
CP1 Wafer sort</t>
  </si>
  <si>
    <t>0002086</t>
  </si>
  <si>
    <t>8297</t>
  </si>
  <si>
    <t>PO #4500001389 
Veeam Data Platform Foundation
Universal License with Production
Support - Upfront Billing License - 10
Instances - 1 Year - Net New</t>
  </si>
  <si>
    <t>2-700-01448</t>
  </si>
  <si>
    <t>Customs Duty, Original VAT, Disbursement Fee &amp; China VAT - Duty/Tax</t>
  </si>
  <si>
    <t>20251210M12</t>
  </si>
  <si>
    <t>14640</t>
  </si>
  <si>
    <t>Professional Technical Packaging Services</t>
  </si>
  <si>
    <t>Professi</t>
  </si>
  <si>
    <t>PO 4500001425</t>
  </si>
  <si>
    <t>Duplicate payment (2509115TSN &amp; 2507095TSN-D)</t>
  </si>
  <si>
    <t>39225B0105</t>
  </si>
  <si>
    <t>PO4500000836
Rework fee for 07-00097-1 30pcs prototype</t>
  </si>
  <si>
    <t>12/11/2025</t>
  </si>
  <si>
    <t>17896616</t>
  </si>
  <si>
    <t>PO-4500001317
IDSD-05-D-24.00-P01-G-R</t>
  </si>
  <si>
    <t>FGL0004657</t>
  </si>
  <si>
    <t>91909162</t>
  </si>
  <si>
    <t>91909163</t>
  </si>
  <si>
    <t>91909164</t>
  </si>
  <si>
    <t>PO4500000021
Wormhole B0</t>
  </si>
  <si>
    <t>1909710180</t>
  </si>
  <si>
    <t>131032</t>
  </si>
  <si>
    <t>PO-4500000721
Z-TENST 65-0000D-3 Rev 02 R (11/11/25)</t>
  </si>
  <si>
    <t>2908422234</t>
  </si>
  <si>
    <t>2908422481</t>
  </si>
  <si>
    <t>2908422482</t>
  </si>
  <si>
    <t>2908423020</t>
  </si>
  <si>
    <t>9116812975</t>
  </si>
  <si>
    <t>PO 4500000660
65-00078-1
AVTTX-02002/REV.-</t>
  </si>
  <si>
    <t>2-700-24261</t>
  </si>
  <si>
    <t>CARM</t>
  </si>
  <si>
    <t>To record 
December2025 payable</t>
  </si>
  <si>
    <t>09/28/2025</t>
  </si>
  <si>
    <t>9500026189</t>
  </si>
  <si>
    <t>PO4500000629
00-00053-1</t>
  </si>
  <si>
    <t>12/12/2025</t>
  </si>
  <si>
    <t>238100031657</t>
  </si>
  <si>
    <t>Boyd Thermal Systems Hong Kong Limited (USD)</t>
  </si>
  <si>
    <t>Boyd The</t>
  </si>
  <si>
    <t>PO4500000444
FG,07-0001B-3,Rev.02</t>
  </si>
  <si>
    <t>17127137</t>
  </si>
  <si>
    <t>Anita - ULINE TOP GUN TAPE DISPENSER - 2"</t>
  </si>
  <si>
    <t>IN062511130070</t>
  </si>
  <si>
    <t>PO 4500001434
transceivers-does not emit radio</t>
  </si>
  <si>
    <t>5388</t>
  </si>
  <si>
    <t>Multilane (USD)</t>
  </si>
  <si>
    <t>Multilan</t>
  </si>
  <si>
    <t>PO-4500001328 
QSDY1003H4XC
 SN: 10000006954, 10000006957, 10000006956, 10000006955</t>
  </si>
  <si>
    <t>5389</t>
  </si>
  <si>
    <t>PO-4500001327
QSDY1002H4XC
SN: 10000006950, 10000006953, 10000006952, 10000006952</t>
  </si>
  <si>
    <t>1909710632</t>
  </si>
  <si>
    <t>2908423726</t>
  </si>
  <si>
    <t>2908424756</t>
  </si>
  <si>
    <t>2908425257</t>
  </si>
  <si>
    <t>9456664660</t>
  </si>
  <si>
    <t>Jabil Circuit Sdn. Bhd. (USD)</t>
  </si>
  <si>
    <t>Jabil Ci</t>
  </si>
  <si>
    <t>PO4500000970
QD4CS3LCCCR0PAM 400G DR4 QSFP-DD 500M CEREBRAS</t>
  </si>
  <si>
    <t>2-700-43362</t>
  </si>
  <si>
    <t>91909169</t>
  </si>
  <si>
    <t>PO4500000021
Wormhole - 120 Tensix cores, PCIe x16, 1</t>
  </si>
  <si>
    <t>12/13/2025</t>
  </si>
  <si>
    <t>AR2511123</t>
  </si>
  <si>
    <t>Winway Technology (USD)</t>
  </si>
  <si>
    <t>Winway T</t>
  </si>
  <si>
    <t>PO4500001117
FCBGA50x50-0.8-3721 Socket base (Blackhole)</t>
  </si>
  <si>
    <t>7717655</t>
  </si>
  <si>
    <t>7717801</t>
  </si>
  <si>
    <t>2908425752</t>
  </si>
  <si>
    <t>28-00001-1</t>
  </si>
  <si>
    <t>2908425755</t>
  </si>
  <si>
    <t>PO 4500001218
28-00001-1</t>
  </si>
  <si>
    <t>2908425881</t>
  </si>
  <si>
    <t>PO 4500001218
Wormhole.A1.SL3 BINR</t>
  </si>
  <si>
    <t>2908426415</t>
  </si>
  <si>
    <t>PO 30895
28-00002-1
28-00003-1</t>
  </si>
  <si>
    <t>0002087</t>
  </si>
  <si>
    <t>100561</t>
  </si>
  <si>
    <t>Testforce Systems</t>
  </si>
  <si>
    <t>Testforc</t>
  </si>
  <si>
    <t>PO 4500001278
National Instruments Corporation</t>
  </si>
  <si>
    <t>6010757529</t>
  </si>
  <si>
    <t>Credit memo for 1018764995</t>
  </si>
  <si>
    <t>88187</t>
  </si>
  <si>
    <t>PO 4500001243
Professional Services for the Period:September 1, 2025 to September 30, 2025</t>
  </si>
  <si>
    <t>12/14/2025</t>
  </si>
  <si>
    <t>7721777</t>
  </si>
  <si>
    <t>7722098</t>
  </si>
  <si>
    <t>7721791</t>
  </si>
  <si>
    <t>7722417</t>
  </si>
  <si>
    <t>9116828237</t>
  </si>
  <si>
    <t>5600014935</t>
  </si>
  <si>
    <t>ZOHO Canada Corporation (USD)</t>
  </si>
  <si>
    <t>ZOHO Can</t>
  </si>
  <si>
    <t>PO4500001403
Annual Subscription Fee for ManageEngine
ADManager Plus Standard Edition for 1 Domain
(Unrestricted Objects) with 2 help desk
Technician
Start 15 November 2025 End 13 November 2026</t>
  </si>
  <si>
    <t>91909170</t>
  </si>
  <si>
    <t>2908428596</t>
  </si>
  <si>
    <t>PO-30895
FT1 FINAL TEST
FT6 FINAL TEST
FT8 FINAL TEST</t>
  </si>
  <si>
    <t>2908429226</t>
  </si>
  <si>
    <t>2908429232</t>
  </si>
  <si>
    <t>2908430041</t>
  </si>
  <si>
    <t>CB00477465</t>
  </si>
  <si>
    <t>PO4500001332
APC NetShelter Rack PDU Advanced - Gen 2 - power distributio
Hardware Hardware</t>
  </si>
  <si>
    <t>CB00477594</t>
  </si>
  <si>
    <t>PO4500001388
Smartups Srt 5000Va Rm 208V
Hardware Hardware</t>
  </si>
  <si>
    <t>2908430042</t>
  </si>
  <si>
    <t>PO 4500001218
Wormhole.A1.SL1 BINR</t>
  </si>
  <si>
    <t>427</t>
  </si>
  <si>
    <t>PO4500000461</t>
  </si>
  <si>
    <t>Carmel Smith</t>
  </si>
  <si>
    <t>PNA25-09233-1</t>
  </si>
  <si>
    <t>2908432628</t>
  </si>
  <si>
    <t>12/15/2025</t>
  </si>
  <si>
    <t>2908430887</t>
  </si>
  <si>
    <t>2908430889</t>
  </si>
  <si>
    <t>2908431617</t>
  </si>
  <si>
    <t>2908431618</t>
  </si>
  <si>
    <t>2908431918</t>
  </si>
  <si>
    <t>2908432222</t>
  </si>
  <si>
    <t>20251215M13</t>
  </si>
  <si>
    <t>PO - 4500001616
WH Galaxy _ 1pcs Air duct for 2x Retimer</t>
  </si>
  <si>
    <t>2908433572</t>
  </si>
  <si>
    <t>PO-30895
3598 FBGA 28-00003-1</t>
  </si>
  <si>
    <t>12/16/2025</t>
  </si>
  <si>
    <t>2908433574</t>
  </si>
  <si>
    <t>PO-4500001218
3025 BGA 28-00010-1</t>
  </si>
  <si>
    <t>2908433871</t>
  </si>
  <si>
    <t>PO-2908433871
Blackhole.A0.WS</t>
  </si>
  <si>
    <t>2908433930</t>
  </si>
  <si>
    <t>PO-4500001218
3025 BGA 28-00011-1</t>
  </si>
  <si>
    <t>2908434070</t>
  </si>
  <si>
    <t>PO30860
Blackhole.A0.WS</t>
  </si>
  <si>
    <t>2908434283</t>
  </si>
  <si>
    <t>ARHD00984502</t>
  </si>
  <si>
    <t>Canada Computers</t>
  </si>
  <si>
    <t>Canada C</t>
  </si>
  <si>
    <t>PO-4500001534
ANKER A3305</t>
  </si>
  <si>
    <t>338836</t>
  </si>
  <si>
    <t>Cincinnati Test Systems (USD)</t>
  </si>
  <si>
    <t>Cincinna</t>
  </si>
  <si>
    <t>PO4500001522
CTS for Leak Tester Stands:ASSY-049195</t>
  </si>
  <si>
    <t>**Hold **</t>
  </si>
  <si>
    <t>14684</t>
  </si>
  <si>
    <t>PO4500001425
60-00132-2 KIT PKG RACKBOX, TT-BRAN</t>
  </si>
  <si>
    <t>91909176</t>
  </si>
  <si>
    <t>12/17/2025</t>
  </si>
  <si>
    <t>FGL0004790</t>
  </si>
  <si>
    <t>Air Freight - Door to Airport, Export Declaration, Destination Import Handling/Terminals/Custom Clearance/Admin/Delivery, Storage Charges at Destination</t>
  </si>
  <si>
    <t>2908435075</t>
  </si>
  <si>
    <t>PO-30895
FT1 FINAL TEST
FT5 FINAL TEST
FT8 FINAL TEST</t>
  </si>
  <si>
    <t>2908435079</t>
  </si>
  <si>
    <t>PO-4500001218
FT5 FINAL TEST</t>
  </si>
  <si>
    <t>2908435189</t>
  </si>
  <si>
    <t>2908435559</t>
  </si>
  <si>
    <t>2908436536</t>
  </si>
  <si>
    <t>7726459</t>
  </si>
  <si>
    <t>131125</t>
  </si>
  <si>
    <t>PO-4500001312
Z-TENST 65-0000D-3 Rev 2</t>
  </si>
  <si>
    <t>131126</t>
  </si>
  <si>
    <t>D54429</t>
  </si>
  <si>
    <t>D54430</t>
  </si>
  <si>
    <t>PO4500001485
2025-9186 Programming/Planning</t>
  </si>
  <si>
    <t>D54431</t>
  </si>
  <si>
    <t>2025-9186-AWR-04 : TENSTORRENT</t>
  </si>
  <si>
    <t>2-701-20622</t>
  </si>
  <si>
    <t>2-700-97666</t>
  </si>
  <si>
    <t>Canada GST, Disbursement Fee, GST on Disb/Ancillary Service Fees</t>
  </si>
  <si>
    <t>2-700-79863</t>
  </si>
  <si>
    <t>Transportation Charges</t>
  </si>
  <si>
    <t>14686</t>
  </si>
  <si>
    <t>IN062511180019</t>
  </si>
  <si>
    <t>PO 4500001286
Customized Length MTP® Jumper,
MTP®-12 APC (Female) to MTP®-12 APC
(Female), 12 Fibers, Single Mode (OS2),
Plenum (OFNP), 0.35dB Max, Type B,
40m 40m (131ft) MTP® Jumper,
MTP®-12 APC (Female) to MTP®-12 APC
(Female), 12 Fibers, Single Mode (OS2),
Plenum (OFNP), 0.35dB Max, Type B,
15m 15m (49ft) MTP® Jumper, MTP®-12
APC (Female) to MTP®-12 APC (Female),
12 Fibers, Single Mode (OS2), Plenum
(OFNP), 0.35dB Max, Type B, Yellow:</t>
  </si>
  <si>
    <t>12/18/2025</t>
  </si>
  <si>
    <t>1909728027</t>
  </si>
  <si>
    <t>PO4500000518
Matrix Boat --Blackhole 4.7=&gt;7.3K/W</t>
  </si>
  <si>
    <t>2908437642</t>
  </si>
  <si>
    <t>2908437972</t>
  </si>
  <si>
    <t>2908437974</t>
  </si>
  <si>
    <t>2908438933</t>
  </si>
  <si>
    <t>PO-30895
FT1 FINAL TEST
FT7 FINAL TEST</t>
  </si>
  <si>
    <t>FGL0004824</t>
  </si>
  <si>
    <t>Air Freight &amp; Handling</t>
  </si>
  <si>
    <t>7733227</t>
  </si>
  <si>
    <t>FGL0004840</t>
  </si>
  <si>
    <t>2-701-43087</t>
  </si>
  <si>
    <t>VAT on Ancillary, Customs Duty, Original VAT, Disbursement Fee, Merchandise Processing Fee</t>
  </si>
  <si>
    <t>20251218M14</t>
  </si>
  <si>
    <t>PO - 4500001623
BH : PCB S7TK BASE BD</t>
  </si>
  <si>
    <t>0002089</t>
  </si>
  <si>
    <t>12/19/2025</t>
  </si>
  <si>
    <t>FGL0004871</t>
  </si>
  <si>
    <t>34387</t>
  </si>
  <si>
    <t>Graficana Ltd.</t>
  </si>
  <si>
    <t>Grafican</t>
  </si>
  <si>
    <t>PO4500001481</t>
  </si>
  <si>
    <t>0002093</t>
  </si>
  <si>
    <t>7738227</t>
  </si>
  <si>
    <t>7737243</t>
  </si>
  <si>
    <t>Brokerage fee, release fee and communication fee</t>
  </si>
  <si>
    <t>2908439729</t>
  </si>
  <si>
    <t>PO-30895
Bake+ DRY PACK
FT1 FINAL TEST
FT7 FINAL TEST
FT8 FINAL TEST
100% LEAD SCAN 1</t>
  </si>
  <si>
    <t>2908440030</t>
  </si>
  <si>
    <t>2908440031</t>
  </si>
  <si>
    <t>PO-30895
Bake+ DRY PACK
FT1 FINAL TEST
FT5 FINAL TEST
FT6 FINAL TEST
FT7 FINAL TEST
FT68FINAL TEST
100% LEAD SCAN 1</t>
  </si>
  <si>
    <t>2908440032</t>
  </si>
  <si>
    <t>2908440566</t>
  </si>
  <si>
    <t>2908440983</t>
  </si>
  <si>
    <t>2908441257</t>
  </si>
  <si>
    <t>2908441258</t>
  </si>
  <si>
    <t>9116843109</t>
  </si>
  <si>
    <t>PO 4500000660
65-00079-1
AVTTX-02001/REV.-</t>
  </si>
  <si>
    <t>WS-20251107WM03</t>
  </si>
  <si>
    <t>Guangdong Winshare Thermal Technology Co., Ltd</t>
  </si>
  <si>
    <t>Guangdon</t>
  </si>
  <si>
    <t>PO 4500001501
Sample thermal module - R&amp;D &amp; Galaxy 10u</t>
  </si>
  <si>
    <t>2-701-61181</t>
  </si>
  <si>
    <t>20251219M15</t>
  </si>
  <si>
    <t>PO - 4500001629
Galaxy:cable Cable cartridge</t>
  </si>
  <si>
    <t>2025-TT-0172</t>
  </si>
  <si>
    <t>PO4500000257 
IT Support Services for the period Period from Dec 8 2025 to Dec 19 2025.</t>
  </si>
  <si>
    <t>2025-TTHDOC-0046</t>
  </si>
  <si>
    <t>2908443260</t>
  </si>
  <si>
    <t>PO-30913
O/S Socket - Packaging Tooling</t>
  </si>
  <si>
    <t>12/20/2025</t>
  </si>
  <si>
    <t>1909734180</t>
  </si>
  <si>
    <t>PO4500000677
Blackhole HT-3015 CT 6 sites Change</t>
  </si>
  <si>
    <t>1909734181</t>
  </si>
  <si>
    <t>PO4500000677
Blackhole HT9045HW ATC3.2 Single sit</t>
  </si>
  <si>
    <t>131208</t>
  </si>
  <si>
    <t>2908441907</t>
  </si>
  <si>
    <t>2908441985</t>
  </si>
  <si>
    <t>PO-30895
FT1 FINAL TEST</t>
  </si>
  <si>
    <t>2908442943</t>
  </si>
  <si>
    <t>2908443271</t>
  </si>
  <si>
    <t>2908443727</t>
  </si>
  <si>
    <t>PO4500001218
Bake+ DRY PACK
FT5 FINAL TEST
100% LEAD SCAN 1</t>
  </si>
  <si>
    <t>2908443728</t>
  </si>
  <si>
    <t>PO-30895
Bake+ DRY PACK
FT1 FINAL TEST
FT5 FINAL TEST
FT8 FINAL TEST
100% LEAD SCAN 1</t>
  </si>
  <si>
    <t>2908443931</t>
  </si>
  <si>
    <t>91909189</t>
  </si>
  <si>
    <t>CCI2025112001PM1</t>
  </si>
  <si>
    <t>PO4500001451
68-00063-1 KIT, RADIATOR, QUIETBOX GE X010000001A
68-00062-1 KIT, MANIFOLD, PLUMBING, QUIETBOX GE</t>
  </si>
  <si>
    <t>0932184071</t>
  </si>
  <si>
    <t>96GB DDR5-6400 2RX4 LP (24Gb) ECC
RDIMM,HF,RoHS
8473.30.0002 / EAR99</t>
  </si>
  <si>
    <t>17912340</t>
  </si>
  <si>
    <t>PO-4500001082
NR-ARP6-DP-025-04-06.0-B-S-S</t>
  </si>
  <si>
    <t>7742442</t>
  </si>
  <si>
    <t>CB00477857</t>
  </si>
  <si>
    <t>PO4500001465
FlashBlade External Fabric Modules (XFM-8400)
for multi-chas
Hardware Hardware</t>
  </si>
  <si>
    <t>CB00477914</t>
  </si>
  <si>
    <t>PO4500001388
Smart-UPS SRT 192V 5kVA and 6kVA RM
Battery Pack
Hardware Hardware</t>
  </si>
  <si>
    <t>7748151</t>
  </si>
  <si>
    <t>12/21/2025</t>
  </si>
  <si>
    <t>7747692</t>
  </si>
  <si>
    <t>7747691</t>
  </si>
  <si>
    <t>7747630</t>
  </si>
  <si>
    <t>7747665</t>
  </si>
  <si>
    <t>131235</t>
  </si>
  <si>
    <t>PO-4500001415
Z-TENST 01-00044-1 Rev 02</t>
  </si>
  <si>
    <t>118349149</t>
  </si>
  <si>
    <t>COAX CBL U.FL TO U.FL 11.8"
COAX CBL U.FL TO U.FL 19.6"</t>
  </si>
  <si>
    <t>2908446092</t>
  </si>
  <si>
    <t>FGL0004913</t>
  </si>
  <si>
    <t>Courier Charges (original docs from Tenstorrent to Farrow)</t>
  </si>
  <si>
    <t>5414</t>
  </si>
  <si>
    <t>PO-4500001120
ML4062-ALB2-2A-112
ML4062-ALB4-2A-112</t>
  </si>
  <si>
    <t>2908447020</t>
  </si>
  <si>
    <t>12/22/2025</t>
  </si>
  <si>
    <t>2908447022</t>
  </si>
  <si>
    <t>2908447719</t>
  </si>
  <si>
    <t>2908448029</t>
  </si>
  <si>
    <t>PO-30895
Bake+ DRY PACK
FT1 FINAL TEST
FT6 FINAL TEST
FT8 FINAL TEST
100% LEAD SCAN 1</t>
  </si>
  <si>
    <t>2908448361</t>
  </si>
  <si>
    <t>1909739636</t>
  </si>
  <si>
    <t>11/23/2025</t>
  </si>
  <si>
    <t>2908448879</t>
  </si>
  <si>
    <t>12/23/2025</t>
  </si>
  <si>
    <t>2908448883</t>
  </si>
  <si>
    <t>PO4500001218
Bake+ DRY PACK
FT5 FINAL TEST
FT6 FINAL TEST
FT7 FINAL TEST
FT8 FINAL TEST
100% LEAD SCAN 1</t>
  </si>
  <si>
    <t>2908449520</t>
  </si>
  <si>
    <t>2908450073</t>
  </si>
  <si>
    <t>2908450184</t>
  </si>
  <si>
    <t>PO30895
FT1 FINAL TEST</t>
  </si>
  <si>
    <t>2908450391</t>
  </si>
  <si>
    <t>2-702-02202</t>
  </si>
  <si>
    <t>FGL0004924</t>
  </si>
  <si>
    <t>12/24/2025</t>
  </si>
  <si>
    <t>CB00477943</t>
  </si>
  <si>
    <t>PO4500001388
APC Rack PDU 9000 Switched APDU9941</t>
  </si>
  <si>
    <t>SL16438</t>
  </si>
  <si>
    <t>ServerLIFT LLC (USD)</t>
  </si>
  <si>
    <t>ServerLI</t>
  </si>
  <si>
    <t>PO4500001397
SL-500X Fine Adjust Powered Data Center Lift, 500lb Capacity, SL-500X 3-Year Extended Service and Warranty Agreement including annual onsite preventative maintenance..Start Date: 12/08/2025 Expires:.12/08/2028, tariff surcharge, shipping charge</t>
  </si>
  <si>
    <t>2908451180</t>
  </si>
  <si>
    <t>PO30895
FT1 FINAL TEST
FT5 FINAL TEST</t>
  </si>
  <si>
    <t>2908451181</t>
  </si>
  <si>
    <t>2908451639</t>
  </si>
  <si>
    <t>2908451899</t>
  </si>
  <si>
    <t>PO30860
CP1 Wafer sort</t>
  </si>
  <si>
    <t>2908452697</t>
  </si>
  <si>
    <t>2908452700</t>
  </si>
  <si>
    <t>2908453044</t>
  </si>
  <si>
    <t>2908453045</t>
  </si>
  <si>
    <t>PO30895
Bake+ DRY PACK
FT1 FINAL TEST
FT6 FINAL TEST
FT7 FINAL TEST
FT8 FINAL TEST
100% LEAD SCAN 1</t>
  </si>
  <si>
    <t>91909194</t>
  </si>
  <si>
    <t>131252</t>
  </si>
  <si>
    <t>17196980</t>
  </si>
  <si>
    <t>Anita - 20 X 20 X 20" 500 LB DOUBLE WALL
CORRUGATED BOXES</t>
  </si>
  <si>
    <t>Chad Garrett</t>
  </si>
  <si>
    <t>7752883</t>
  </si>
  <si>
    <t>7753980</t>
  </si>
  <si>
    <t>7752918</t>
  </si>
  <si>
    <t>8600005862</t>
  </si>
  <si>
    <t>PO- 31106
Freight Charge</t>
  </si>
  <si>
    <t>YHMIR02775716</t>
  </si>
  <si>
    <t>DHL Express</t>
  </si>
  <si>
    <t>DHL Expr</t>
  </si>
  <si>
    <t>Express Worldwide Nondoc</t>
  </si>
  <si>
    <t>INV00498459</t>
  </si>
  <si>
    <t>GitLab (USD)</t>
  </si>
  <si>
    <t>GitLab (</t>
  </si>
  <si>
    <t>PO-4500001472
Self-Managed - Premium - 1 Year -- Proration</t>
  </si>
  <si>
    <t>12/25/2025</t>
  </si>
  <si>
    <t>CCI2025092203PM1</t>
  </si>
  <si>
    <t>PO4500001087 
NRE cost for testing screenprint ink with Coolant in reservoir</t>
  </si>
  <si>
    <t>7759258</t>
  </si>
  <si>
    <t>7758507</t>
  </si>
  <si>
    <t>7758514</t>
  </si>
  <si>
    <t>7758956</t>
  </si>
  <si>
    <t>CCI2025092202PM1</t>
  </si>
  <si>
    <t>PO4500001467
Pump housing of Acrylic: QB GE sample</t>
  </si>
  <si>
    <t>1909747131</t>
  </si>
  <si>
    <t>PO4500000945
Snap Curing Tooling (set)</t>
  </si>
  <si>
    <t>91909198</t>
  </si>
  <si>
    <t>131278</t>
  </si>
  <si>
    <t>PO-4500001415
Z-TENST 65-0000C-1 REV 1 (2024-11-21)</t>
  </si>
  <si>
    <t>2908453730</t>
  </si>
  <si>
    <t>PO30895
Blackhole.A0.FT</t>
  </si>
  <si>
    <t>2908453734</t>
  </si>
  <si>
    <t>PO4500001218
3025 BGA Wormhole.A1.SL1</t>
  </si>
  <si>
    <t>2908454324</t>
  </si>
  <si>
    <t>PO30895
3598 FBGA 28-00004-1</t>
  </si>
  <si>
    <t>2908455411</t>
  </si>
  <si>
    <t>2908455412</t>
  </si>
  <si>
    <t>2908455619</t>
  </si>
  <si>
    <t>PO 4500001218
28-00009-1</t>
  </si>
  <si>
    <t>2908455621</t>
  </si>
  <si>
    <t>PO 30895
28-00004-1
28-00005-1</t>
  </si>
  <si>
    <t>A2-702-81047</t>
  </si>
  <si>
    <t>Custom duty</t>
  </si>
  <si>
    <t>183119 - Jan26</t>
  </si>
  <si>
    <t>PO4500000567
Health Plan - Jan26</t>
  </si>
  <si>
    <t>FGL0004962</t>
  </si>
  <si>
    <t>12/26/2025</t>
  </si>
  <si>
    <t>FGL0004963</t>
  </si>
  <si>
    <t>91909205</t>
  </si>
  <si>
    <t>PO4500000040
Wormhole - 120 Tensix cores, PCIe x16, 1</t>
  </si>
  <si>
    <t>91909204</t>
  </si>
  <si>
    <t>7763958</t>
  </si>
  <si>
    <t>9116863631</t>
  </si>
  <si>
    <t>TARIFF_RECOVERY
AVTTARIFF_RECOVERY</t>
  </si>
  <si>
    <t>FGL0005000</t>
  </si>
  <si>
    <t>Delivery and handling</t>
  </si>
  <si>
    <t>FGL0005004</t>
  </si>
  <si>
    <t>2908457983</t>
  </si>
  <si>
    <t>PO 4500001218
Wormhole.A1.SL1
Wormhole.A1.SL1 BINR</t>
  </si>
  <si>
    <t>2908456177</t>
  </si>
  <si>
    <t>PO30895
Blackhole.A0.FT7EA</t>
  </si>
  <si>
    <t>2908456413</t>
  </si>
  <si>
    <t>2908456416</t>
  </si>
  <si>
    <t>PO 4500001218
Wormhole.A1.SL1 BINR
Wormhole.A1.SL3 BINR</t>
  </si>
  <si>
    <t>2908457233</t>
  </si>
  <si>
    <t>2908457234</t>
  </si>
  <si>
    <t>PO30895
28-00004-1
28-00005-1
Blackhole.A0.FT7EA</t>
  </si>
  <si>
    <t>2908457980</t>
  </si>
  <si>
    <t>PO 30860
Blackhole.A0.WS</t>
  </si>
  <si>
    <t>2908457982</t>
  </si>
  <si>
    <t>2908460358</t>
  </si>
  <si>
    <t>PO 4500001218
Wormhole.A1.SL1 BINR
Wormhole.A1.SL2 BINR</t>
  </si>
  <si>
    <t>2-703-02477</t>
  </si>
  <si>
    <t>IN2512095</t>
  </si>
  <si>
    <t>PO4500001426</t>
  </si>
  <si>
    <t>7768990</t>
  </si>
  <si>
    <t>12/27/2025</t>
  </si>
  <si>
    <t>7768432</t>
  </si>
  <si>
    <t>131333</t>
  </si>
  <si>
    <t>PO-4500001435
Z-TENST ECN BILLING (11/26/25)</t>
  </si>
  <si>
    <t>131332</t>
  </si>
  <si>
    <t>PO-4500001168
Z-TENST 01-00037-2 REV 3 (11/26/25)</t>
  </si>
  <si>
    <t>131327</t>
  </si>
  <si>
    <t>131326</t>
  </si>
  <si>
    <t>PO-4500000721
Z-TENST 65-0000D-3 Rev 02 R</t>
  </si>
  <si>
    <t>131325</t>
  </si>
  <si>
    <t>PO-30882
Z-TENST 65-0000B-3 Rev 02 R</t>
  </si>
  <si>
    <t>34393</t>
  </si>
  <si>
    <t>PO4500001530
GRX500-4.33x1476
Ribbon Printing</t>
  </si>
  <si>
    <t>0002096</t>
  </si>
  <si>
    <t>0002097</t>
  </si>
  <si>
    <t>PO4500000850
Software Development</t>
  </si>
  <si>
    <t>2908458851</t>
  </si>
  <si>
    <t>PO 4500001218
28-00009-1
28-00010-1
28-00011-1</t>
  </si>
  <si>
    <t>2908458853</t>
  </si>
  <si>
    <t>2908458916</t>
  </si>
  <si>
    <t>PO 30895
28-00005-1
Blackhole.A0.FT
Blackhole.A0.FT7EA</t>
  </si>
  <si>
    <t>2908458917</t>
  </si>
  <si>
    <t>2908459338</t>
  </si>
  <si>
    <t>PO 4500001218
28-00010-1
28-00011-1</t>
  </si>
  <si>
    <t>2908459902</t>
  </si>
  <si>
    <t>35896858</t>
  </si>
  <si>
    <t>Salesforce (USD)</t>
  </si>
  <si>
    <t>Salesfor</t>
  </si>
  <si>
    <t>No PO, Salesforce subscription 12/28/2025 - 1/27/2026</t>
  </si>
  <si>
    <t>12/28/2025</t>
  </si>
  <si>
    <t>Christine Blizzard</t>
  </si>
  <si>
    <t>CB00478456</t>
  </si>
  <si>
    <t>PO4500001375
Ubiquiti UniFi E7 - wireless access point - Wi-Fi 7
Hardware Hardware
Ubiquiti UniFi Cloud Key G2+ - security appliance
Hardware Hardware</t>
  </si>
  <si>
    <t>7773454</t>
  </si>
  <si>
    <t>7773193</t>
  </si>
  <si>
    <t>0002099</t>
  </si>
  <si>
    <t>CAR22-25B00006</t>
  </si>
  <si>
    <t>PO4500001373
Nidec-Freight costs reimbursement</t>
  </si>
  <si>
    <t>2908463516</t>
  </si>
  <si>
    <t>2908461115</t>
  </si>
  <si>
    <t>PO 30895
Blackhole.A0.FT7EA</t>
  </si>
  <si>
    <t>2908461264</t>
  </si>
  <si>
    <t>PO 4500001218
Wormhole.A1.SL1 BINR
Wormhole.A1.SL2 BINR
Wormhole.A1.SL3 BINR</t>
  </si>
  <si>
    <t>2908462544</t>
  </si>
  <si>
    <t>2908462546</t>
  </si>
  <si>
    <t>PO 4500001218
28-00009-1
28-00010-1</t>
  </si>
  <si>
    <t>2908463035</t>
  </si>
  <si>
    <t>2908463514</t>
  </si>
  <si>
    <t>131403</t>
  </si>
  <si>
    <t>PO-4500001415
Z-TENST 65-0000C-1 REV 1 (2024-11-21)
Z-TENST 65-0000E-1 REV 1 11/21/2024</t>
  </si>
  <si>
    <t>12/29/2025</t>
  </si>
  <si>
    <t>2908465830</t>
  </si>
  <si>
    <t>2908464499</t>
  </si>
  <si>
    <t>PO 30895
28-00004-1</t>
  </si>
  <si>
    <t>2908464753</t>
  </si>
  <si>
    <t>PO 30895
Blackhole.A0.FT
Blackhole.A0.FT5RT</t>
  </si>
  <si>
    <t>2908464758</t>
  </si>
  <si>
    <t>2908465057</t>
  </si>
  <si>
    <t>PO 4500001218
28-00010-1</t>
  </si>
  <si>
    <t>2908465059</t>
  </si>
  <si>
    <t>PO 30895
28-00001-1
28-00004-1
28-00005-1
Blackhole.A0.FT5RT</t>
  </si>
  <si>
    <t>2908465331</t>
  </si>
  <si>
    <t>2908465397</t>
  </si>
  <si>
    <t>2908465555</t>
  </si>
  <si>
    <t>2908465556</t>
  </si>
  <si>
    <t>PO 30895
28-00001-1
28-00004-1
28-00005-1
Blackhole.A0.FT6RT</t>
  </si>
  <si>
    <t>2908465827</t>
  </si>
  <si>
    <t>9500026449</t>
  </si>
  <si>
    <t>PO Tenstorrent Chassis出货
00-00057-1</t>
  </si>
  <si>
    <t>12/30/2025</t>
  </si>
  <si>
    <t>21695</t>
  </si>
  <si>
    <t>91909210</t>
  </si>
  <si>
    <t>1909759847</t>
  </si>
  <si>
    <t>PO30934
Blackhole.A2.PA</t>
  </si>
  <si>
    <t>91261015</t>
  </si>
  <si>
    <t>2908466984</t>
  </si>
  <si>
    <t>2908467845</t>
  </si>
  <si>
    <t>PO 4500001218
Wormhole.A1.SL2 BINR
Wormhole.A1.SL3 BINR</t>
  </si>
  <si>
    <t>2-703-41617</t>
  </si>
  <si>
    <t>2-703-61392</t>
  </si>
  <si>
    <t>2223391</t>
  </si>
  <si>
    <t>PO4500000402
For Professional Services rendered through November 30, 2025</t>
  </si>
  <si>
    <t>9116867185</t>
  </si>
  <si>
    <t>PO4500001219
NLNACB-0001
AHLNLNACB-0001</t>
  </si>
  <si>
    <t>12/31/2025</t>
  </si>
  <si>
    <t>2908469134</t>
  </si>
  <si>
    <t>2908469462</t>
  </si>
  <si>
    <t>2908469932</t>
  </si>
  <si>
    <t>2908470238</t>
  </si>
  <si>
    <t>2908470620</t>
  </si>
  <si>
    <t>PO-30895
Bake+ DRY PACK
FT1 FINAL TEST
FT7 FINAL TEST
100% LEAD SCAN 1</t>
  </si>
  <si>
    <t>2908470622</t>
  </si>
  <si>
    <t>93294266</t>
  </si>
  <si>
    <t>93294265</t>
  </si>
  <si>
    <t>PO4500000695
Full Cabinet - kW</t>
  </si>
  <si>
    <t>1018806439</t>
  </si>
  <si>
    <t>PO-4500000548
Precision 5860 XL Tower XCTO Base</t>
  </si>
  <si>
    <t>2-703-90094</t>
  </si>
  <si>
    <t>16716</t>
  </si>
  <si>
    <t>iTest (USD)</t>
  </si>
  <si>
    <t>iTest (U</t>
  </si>
  <si>
    <t>PO-30715
Tester / Hourly Rental for BH</t>
  </si>
  <si>
    <t>FGL0005111</t>
  </si>
  <si>
    <t>01/01/2026</t>
  </si>
  <si>
    <t>FGL0005114</t>
  </si>
  <si>
    <t>00267627</t>
  </si>
  <si>
    <t>Employee Assistance Program powered by Dialogue, approved Jessica Yu</t>
  </si>
  <si>
    <t>AH14M2X</t>
  </si>
  <si>
    <t>PO-4500001556
DELL PRO 32 PLUS QHD USB-C HUB</t>
  </si>
  <si>
    <t>1909760923</t>
  </si>
  <si>
    <t>PO-30934
IC HFC FBGA 50X50
DEVICE# Blackhole.A0.PA</t>
  </si>
  <si>
    <t>1909762197</t>
  </si>
  <si>
    <t>2908468788</t>
  </si>
  <si>
    <t>2908471358</t>
  </si>
  <si>
    <t>2908471774</t>
  </si>
  <si>
    <t>2908471775</t>
  </si>
  <si>
    <t>2908472285</t>
  </si>
  <si>
    <t>2908472286</t>
  </si>
  <si>
    <t>PO 30895
28-00003-1
Blackhole.A0.FT6RT</t>
  </si>
  <si>
    <t>2908472563</t>
  </si>
  <si>
    <t>2908472567</t>
  </si>
  <si>
    <t>PO 4500001218
Wormhole.A1.SL2 BINR</t>
  </si>
  <si>
    <t>2908472713</t>
  </si>
  <si>
    <t>9116875959</t>
  </si>
  <si>
    <t>15950</t>
  </si>
  <si>
    <t>PO-30715
Herrera on 10/16/2025 Other Info: Blackhole LB4 Shipment
Comments: FedEx Tracking# 882861930780 {Time slip#49230}</t>
  </si>
  <si>
    <t>2025120043644</t>
  </si>
  <si>
    <t>Charges for Services From 12/01/2025 To 12/31/2025</t>
  </si>
  <si>
    <t>29833</t>
  </si>
  <si>
    <t>2-704-14236</t>
  </si>
  <si>
    <t>2512113TSN</t>
  </si>
  <si>
    <t>PO-4500001515
Nozzle Single, G 1/4" Swivel Angled Barb [For ID: 06mm (1/4")]</t>
  </si>
  <si>
    <t>140010 - Jan'26</t>
  </si>
  <si>
    <t>PO4500000524
Health Plan - Jan26, approved Jessica Yu</t>
  </si>
  <si>
    <t>00271157</t>
  </si>
  <si>
    <t>PO4500000524
MVE = LHVC + EAP Location 001 - Jan'26, approved Jessica Yu</t>
  </si>
  <si>
    <t>FLSI-706446</t>
  </si>
  <si>
    <t>01/02/2026</t>
  </si>
  <si>
    <t>Current</t>
  </si>
  <si>
    <t>7787693</t>
  </si>
  <si>
    <t>7787594</t>
  </si>
  <si>
    <t>FGL0005143</t>
  </si>
  <si>
    <t>Air Freight, Terminal, Nav Canada, eManifest, Handling &amp; Documentation &amp; Delivery</t>
  </si>
  <si>
    <t>AH17I7U</t>
  </si>
  <si>
    <t>PO-4500001507
LVO CTO WS P14S AMD G6 AI_R7 32G 1T</t>
  </si>
  <si>
    <t>2908473451</t>
  </si>
  <si>
    <t>PO 4500001218
28-00009-1
28-00010-1
28-00011-1
Wormhole.A1.SL1 BINR
Wormhole.A1.SL2</t>
  </si>
  <si>
    <t>2908473857</t>
  </si>
  <si>
    <t>PO 30895
28-00002-1</t>
  </si>
  <si>
    <t>2908474199</t>
  </si>
  <si>
    <t>2908474401</t>
  </si>
  <si>
    <t>2908474439</t>
  </si>
  <si>
    <t>PO 30895
28-00001-1
28-00002-1</t>
  </si>
  <si>
    <t>2908474722</t>
  </si>
  <si>
    <t>2908474725</t>
  </si>
  <si>
    <t>2908474726</t>
  </si>
  <si>
    <t>TENSTORR01001</t>
  </si>
  <si>
    <t>Cogent Communications</t>
  </si>
  <si>
    <t>Cogent C</t>
  </si>
  <si>
    <t>PO4500000473</t>
  </si>
  <si>
    <t>PO-4500001551
Lenovo Support</t>
  </si>
  <si>
    <t>115713750</t>
  </si>
  <si>
    <t>IC REG BUCK ADJ 6A 14QFN</t>
  </si>
  <si>
    <t>2025-TTHDOC-0047</t>
  </si>
  <si>
    <t>PO4500000257
IT Support Services for the period from Dec 22 2025 to Jan 02 2026.</t>
  </si>
  <si>
    <t>2025-TT-0173</t>
  </si>
  <si>
    <t>1909769192</t>
  </si>
  <si>
    <t>PO4500000732
HT-3015 CT 6 sites Change Kit Wormho</t>
  </si>
  <si>
    <t>01/03/2026</t>
  </si>
  <si>
    <t>AH2DL7A</t>
  </si>
  <si>
    <t>PO-4500001509
LVO CTOWS P16S AMD G4 AI_R7 32G 1T</t>
  </si>
  <si>
    <t>2908475593</t>
  </si>
  <si>
    <t>2908475596</t>
  </si>
  <si>
    <t>2908476128</t>
  </si>
  <si>
    <t>2908476432</t>
  </si>
  <si>
    <t>2908476433</t>
  </si>
  <si>
    <t>2908476500</t>
  </si>
  <si>
    <t>2908476766</t>
  </si>
  <si>
    <t>2908477747</t>
  </si>
  <si>
    <t>70521203</t>
  </si>
  <si>
    <t>DWC ARC-Classic Ver2 Royalty</t>
  </si>
  <si>
    <t>91909218</t>
  </si>
  <si>
    <t>7790963</t>
  </si>
  <si>
    <t>2-704-54383</t>
  </si>
  <si>
    <t>10112</t>
  </si>
  <si>
    <t>PO4500000491
Riser Card Firmware programming</t>
  </si>
  <si>
    <t>01/04/2026</t>
  </si>
  <si>
    <t>10113</t>
  </si>
  <si>
    <t>PO4500000491
Riser Card SI Simulations</t>
  </si>
  <si>
    <t>10114</t>
  </si>
  <si>
    <t>PO4500000491
Riser Card Power Integrity Simulations</t>
  </si>
  <si>
    <t>91909223</t>
  </si>
  <si>
    <t>PO4500001353
On-Site Training October 28-October 30</t>
  </si>
  <si>
    <t>Milos Trajkovic</t>
  </si>
  <si>
    <t>0002107</t>
  </si>
  <si>
    <t>0002104</t>
  </si>
  <si>
    <t>7795797</t>
  </si>
  <si>
    <t>7795545</t>
  </si>
  <si>
    <t>7795499</t>
  </si>
  <si>
    <t>7795667</t>
  </si>
  <si>
    <t>7796292</t>
  </si>
  <si>
    <t>91909222</t>
  </si>
  <si>
    <t>PO4500001437
November 25 - 28 Virtual Allegro X PCB Editor Basic Techniques v24.19 students 3.5 days</t>
  </si>
  <si>
    <t>2908480006</t>
  </si>
  <si>
    <t>PO 4500001218
Wormhole.A1.SL1 BINR
Wormhole.A1.SL2 
Wormhole.A1.SL2 BINR</t>
  </si>
  <si>
    <t>2908478515</t>
  </si>
  <si>
    <t>2908478522</t>
  </si>
  <si>
    <t>2908478709</t>
  </si>
  <si>
    <t>2908478716</t>
  </si>
  <si>
    <t>2908479101</t>
  </si>
  <si>
    <t>PO 30895
28-00005-1</t>
  </si>
  <si>
    <t>2908479104</t>
  </si>
  <si>
    <t>PO 30895
28-00009-1
28-00010-1
28-00011-1</t>
  </si>
  <si>
    <t>2908479211</t>
  </si>
  <si>
    <t>2908479690</t>
  </si>
  <si>
    <t>PO 30895
Blackhole.A0.FT6RT</t>
  </si>
  <si>
    <t>200045633</t>
  </si>
  <si>
    <t>E-Switch, Inc.</t>
  </si>
  <si>
    <t>E-Switch</t>
  </si>
  <si>
    <t>PO 4500001180
100131015 / B260080
100131011 / B260079</t>
  </si>
  <si>
    <t>2908482313</t>
  </si>
  <si>
    <t>01/05/2026</t>
  </si>
  <si>
    <t>2908480843</t>
  </si>
  <si>
    <t>2908481126</t>
  </si>
  <si>
    <t>2908481127</t>
  </si>
  <si>
    <t>2908481128</t>
  </si>
  <si>
    <t>2908481446</t>
  </si>
  <si>
    <t>2908481505</t>
  </si>
  <si>
    <t>2908481663</t>
  </si>
  <si>
    <t>2908482310</t>
  </si>
  <si>
    <t>2908482974</t>
  </si>
  <si>
    <t>01/06/2026</t>
  </si>
  <si>
    <t>2908482973</t>
  </si>
  <si>
    <t>2908483771</t>
  </si>
  <si>
    <t>2908483962</t>
  </si>
  <si>
    <t>2908484086</t>
  </si>
  <si>
    <t>2908484301</t>
  </si>
  <si>
    <t>2-704-75279</t>
  </si>
  <si>
    <t>2-704-97979</t>
  </si>
  <si>
    <t>7799146</t>
  </si>
  <si>
    <t>01/07/2026</t>
  </si>
  <si>
    <t>7799364</t>
  </si>
  <si>
    <t>7799151</t>
  </si>
  <si>
    <t>131594</t>
  </si>
  <si>
    <t>4500001168
Z-TENST 01-00037-2 REV 3</t>
  </si>
  <si>
    <t>131593</t>
  </si>
  <si>
    <t>4500001415
Z-TENST 65-0000C-1 REV 1 (2024-11-21)</t>
  </si>
  <si>
    <t>4500001313</t>
  </si>
  <si>
    <t>PO4500001313
81760324 - 330 TENSTORRENT
INC Nebula-SLT( Panasonic
R5775G)-
Invoice Comment:
- 03-00044-1(PCB NEBULA-SLT)</t>
  </si>
  <si>
    <t>2908486648</t>
  </si>
  <si>
    <t>2908484939</t>
  </si>
  <si>
    <t>2908485024</t>
  </si>
  <si>
    <t>2908485026</t>
  </si>
  <si>
    <t>2908485529</t>
  </si>
  <si>
    <t>2908485585</t>
  </si>
  <si>
    <t>2908485586</t>
  </si>
  <si>
    <t>2908486644</t>
  </si>
  <si>
    <t>2908486647</t>
  </si>
  <si>
    <t>2-705-29380</t>
  </si>
  <si>
    <t>Customs Duty, Original VAT, Disbursement Fee</t>
  </si>
  <si>
    <t>20260107M01</t>
  </si>
  <si>
    <t>PO - 4500001673
S7TK CABLE W/ CARTRIDGE ASSY</t>
  </si>
  <si>
    <t>20260107M02</t>
  </si>
  <si>
    <t>PO - 4500001674
Tax for DHL#3152769476 Quanta prepaid
Tax for DHL#2092008811 Quanta prepaid</t>
  </si>
  <si>
    <t>91909226</t>
  </si>
  <si>
    <t>01/08/2026</t>
  </si>
  <si>
    <t>INV-0025</t>
  </si>
  <si>
    <t>Harikoa Design Limited (USD)</t>
  </si>
  <si>
    <t>PO44500001570
Contracting Hours</t>
  </si>
  <si>
    <t>330-13450262</t>
  </si>
  <si>
    <t>2047334</t>
  </si>
  <si>
    <t>Pencom Canada</t>
  </si>
  <si>
    <t>Pencom C</t>
  </si>
  <si>
    <t>PO4500000822
69.00X69.00X25.00,EK QUANTUM
VELOCITY,PLEXI,3831109881118 - 07-00094-1</t>
  </si>
  <si>
    <t>FGL0005254</t>
  </si>
  <si>
    <t>FGL0005271</t>
  </si>
  <si>
    <t>Air Freight, Nav Canada, Terminal, eManifest, Delivery, Handling &amp; Documentation</t>
  </si>
  <si>
    <t>FGL0005273</t>
  </si>
  <si>
    <t>Air Freight, Terminal, Nav Canada,, eManifest, Handling &amp; Documentation, Delivery</t>
  </si>
  <si>
    <t>2908489020</t>
  </si>
  <si>
    <t>PO4500001218
28-00009-1
28-00010-1
28-00011-1
Wormhole.A1.SL1
Wormhole.A1.SL1 BINR
Wormhole.A1.SL2 BINR
Wormhole.A1.SL3 BINR</t>
  </si>
  <si>
    <t>2908487494</t>
  </si>
  <si>
    <t>PO4500001218
Wormhole.A1.SL1 BINR</t>
  </si>
  <si>
    <t>2908487496</t>
  </si>
  <si>
    <t>PO30895
28-00001-1
Blackhole.A0.FT</t>
  </si>
  <si>
    <t>2908487803</t>
  </si>
  <si>
    <t>PO30895
Blackhole.A0.FT5RT</t>
  </si>
  <si>
    <t>2908488053</t>
  </si>
  <si>
    <t>PO30895
Blackhole.A0.FT6RT</t>
  </si>
  <si>
    <t>2908488127</t>
  </si>
  <si>
    <t>2908488427</t>
  </si>
  <si>
    <t>2908489019</t>
  </si>
  <si>
    <t>PO30895
28-00003-1</t>
  </si>
  <si>
    <t>119657</t>
  </si>
  <si>
    <t>PO4500001400
Workstation &amp; Task Chairs</t>
  </si>
  <si>
    <t>91909228</t>
  </si>
  <si>
    <t>01/09/2026</t>
  </si>
  <si>
    <t>91909229</t>
  </si>
  <si>
    <t>330-13453815</t>
  </si>
  <si>
    <t>PO4500001313
FLYING PROBE - NRE Test-
Invoice Comment:
- FLYING PROBE</t>
  </si>
  <si>
    <t>FGL0005317</t>
  </si>
  <si>
    <t>Export Documentation</t>
  </si>
  <si>
    <t>2908489876</t>
  </si>
  <si>
    <t>2908489880</t>
  </si>
  <si>
    <t>PO4500001218
28-00010-1
28-00011-1</t>
  </si>
  <si>
    <t>2908490897</t>
  </si>
  <si>
    <t>2908490898</t>
  </si>
  <si>
    <t>PO30895
28-00001-1
28-00002-1
28-00003-1</t>
  </si>
  <si>
    <t>2908491251</t>
  </si>
  <si>
    <t>2908491257</t>
  </si>
  <si>
    <t>PO4500001218
28-00009-1
Wormhole.A1.SL1
Wormhole.A1.SL2 BINR</t>
  </si>
  <si>
    <t>2908491534</t>
  </si>
  <si>
    <t>2-705-74793</t>
  </si>
  <si>
    <t>Customs Duty, Disbursement Fee, Clearance Entry Fee, Merchandise Processing Fee</t>
  </si>
  <si>
    <t>34417</t>
  </si>
  <si>
    <t>PO4500001652</t>
  </si>
  <si>
    <t>FGL0005344</t>
  </si>
  <si>
    <t>01/10/2026</t>
  </si>
  <si>
    <t>91887062</t>
  </si>
  <si>
    <t>PO4500000733
BLACKHOLE</t>
  </si>
  <si>
    <t>CB00479174</t>
  </si>
  <si>
    <t>PO4500001388
Smart-UPS SRT 192V 5kVA and 6kVA RM
APC Rack PDU 9000 Switched APDU9941 - power distribution uni</t>
  </si>
  <si>
    <t>2047382</t>
  </si>
  <si>
    <t>PO4500001316
10.00LGX3.50WX3.20THK,BLOCK MAGNET
W/ADHESIVE,N52,N2510151103-01 - 08-00080-1</t>
  </si>
  <si>
    <t>1909787182</t>
  </si>
  <si>
    <t>1909788591</t>
  </si>
  <si>
    <t>2908493289</t>
  </si>
  <si>
    <t>2908492086</t>
  </si>
  <si>
    <t>2908492203</t>
  </si>
  <si>
    <t>2908492983</t>
  </si>
  <si>
    <t>USPDS172680</t>
  </si>
  <si>
    <t>Project: Tenstorrent Finance Support PDS
November 2025 Project Management Fee</t>
  </si>
  <si>
    <t>7813266</t>
  </si>
  <si>
    <t>7813467</t>
  </si>
  <si>
    <t>7813148</t>
  </si>
  <si>
    <t>7813147</t>
  </si>
  <si>
    <t>7813551</t>
  </si>
  <si>
    <t>0002108</t>
  </si>
  <si>
    <t>PO4500000671
Software Development</t>
  </si>
  <si>
    <t>2-705-94237</t>
  </si>
  <si>
    <t>20251231Navan</t>
  </si>
  <si>
    <t>TripActions/Navan (USD)</t>
  </si>
  <si>
    <t>7817614</t>
  </si>
  <si>
    <t>01/11/2026</t>
  </si>
  <si>
    <t>7818153</t>
  </si>
  <si>
    <t>7817887</t>
  </si>
  <si>
    <t>2908494412</t>
  </si>
  <si>
    <t>2908495347</t>
  </si>
  <si>
    <t>2908496791</t>
  </si>
  <si>
    <t>1909791365</t>
  </si>
  <si>
    <t>1909791888</t>
  </si>
  <si>
    <t>01/12/2026</t>
  </si>
  <si>
    <t>2908498927</t>
  </si>
  <si>
    <t>PO 30895
28-00009-1</t>
  </si>
  <si>
    <t>2908497606</t>
  </si>
  <si>
    <t>2908498419</t>
  </si>
  <si>
    <t>2908498423</t>
  </si>
  <si>
    <t>2908498926</t>
  </si>
  <si>
    <t>TXDO2026010057</t>
  </si>
  <si>
    <t>PO-4500001453
NRE for P38F3DW10100-8 PCB change</t>
  </si>
  <si>
    <t>YHMINR0039335</t>
  </si>
  <si>
    <t>2908500860</t>
  </si>
  <si>
    <t>PO 30895
Blackhole.A0.FT5RT</t>
  </si>
  <si>
    <t>01/13/2026</t>
  </si>
  <si>
    <t>2908499633</t>
  </si>
  <si>
    <t>2908499634</t>
  </si>
  <si>
    <t>2908499986</t>
  </si>
  <si>
    <t>2908499987</t>
  </si>
  <si>
    <t>2908500334</t>
  </si>
  <si>
    <t>PO 30895
28-00003-1</t>
  </si>
  <si>
    <t>2908500336</t>
  </si>
  <si>
    <t>2908500428</t>
  </si>
  <si>
    <t>PO 30895
28-00001-1</t>
  </si>
  <si>
    <t>2908500430</t>
  </si>
  <si>
    <t>2908500431</t>
  </si>
  <si>
    <t>2908500607</t>
  </si>
  <si>
    <t>2908500703</t>
  </si>
  <si>
    <t>2908500707</t>
  </si>
  <si>
    <t>PO 4500001218
Wormhole.A1.SL1
Wormhole.A1.SL1 BINR
Wormhole.A1.SL2
Wormhole.A1.SL2 BINR
Wormhole.A1.SL3 BINR</t>
  </si>
  <si>
    <t>2-706-11368</t>
  </si>
  <si>
    <t>7822540</t>
  </si>
  <si>
    <t>01/14/2026</t>
  </si>
  <si>
    <t>7822245</t>
  </si>
  <si>
    <t>7822300</t>
  </si>
  <si>
    <t>2908501513</t>
  </si>
  <si>
    <t>2908501967</t>
  </si>
  <si>
    <t>2908502608</t>
  </si>
  <si>
    <t>2908502609</t>
  </si>
  <si>
    <t>PO 30895
Blackhole.A0.FT6RT
Blackhole.A0.FT7EA</t>
  </si>
  <si>
    <t>2908503043</t>
  </si>
  <si>
    <t>2908503048</t>
  </si>
  <si>
    <t>PO 4500001218
Wormhole.A1.SL2
Wormhole.A1.SL2 BINR
Wormhole.A1.SL3 BINR</t>
  </si>
  <si>
    <t>2908503435</t>
  </si>
  <si>
    <t>PO 4500001218
28-00011-1</t>
  </si>
  <si>
    <t>0002112</t>
  </si>
  <si>
    <t>FGL0005417</t>
  </si>
  <si>
    <t>Air freight</t>
  </si>
  <si>
    <t>01/15/2026</t>
  </si>
  <si>
    <t>FGL0005418</t>
  </si>
  <si>
    <t>FGL0005246</t>
  </si>
  <si>
    <t>0002116</t>
  </si>
  <si>
    <t>1909801445</t>
  </si>
  <si>
    <t>2908504109</t>
  </si>
  <si>
    <t>PO-30895
28-00003-1</t>
  </si>
  <si>
    <t>2908504237</t>
  </si>
  <si>
    <t>2908504240</t>
  </si>
  <si>
    <t>PO-4500001218
Wormhole.A1.SL1 BINR</t>
  </si>
  <si>
    <t>2908504583</t>
  </si>
  <si>
    <t>2908504967</t>
  </si>
  <si>
    <t>PO-30895
Blackhole.A0.FT7EA</t>
  </si>
  <si>
    <t>2908505284</t>
  </si>
  <si>
    <t>PO-30860
Blackhole.A0.WS</t>
  </si>
  <si>
    <t>2908505552</t>
  </si>
  <si>
    <t>2908505553</t>
  </si>
  <si>
    <t>PO-4500001218
Wormhole.A1.SL1</t>
  </si>
  <si>
    <t>1575</t>
  </si>
  <si>
    <t>Universal Chiplet (USD)</t>
  </si>
  <si>
    <t>Universa</t>
  </si>
  <si>
    <t>PO4500001305
Universal Chiplet Interconnect Express Contributor Renewal Annual Dues (1/17/2026 - 1/16/2027)</t>
  </si>
  <si>
    <t>01/16/2026</t>
  </si>
  <si>
    <t>Jeffrey Cohen</t>
  </si>
  <si>
    <t>5721</t>
  </si>
  <si>
    <t>PO 4500001343
Calibration Charges see Attached
Courier Pickup/Delivery or Prepaid Shipping</t>
  </si>
  <si>
    <t>FGL0005468</t>
  </si>
  <si>
    <t>Origin Charges, Ocean Freight, eManifest, ACI, Dock fee, Handling, Delivery, Delivery Appointment</t>
  </si>
  <si>
    <t>FGL0005464</t>
  </si>
  <si>
    <t>7832414</t>
  </si>
  <si>
    <t>7832109</t>
  </si>
  <si>
    <t>7832215</t>
  </si>
  <si>
    <t>7836072</t>
  </si>
  <si>
    <t>2908508296</t>
  </si>
  <si>
    <t>PO-30895
28-00001-1
28-00002-1</t>
  </si>
  <si>
    <t>2908507294</t>
  </si>
  <si>
    <t>PO-30895
28-00001-1</t>
  </si>
  <si>
    <t>2908507295</t>
  </si>
  <si>
    <t>PO-4500001218
28-00010-1
28-00011-1</t>
  </si>
  <si>
    <t>2908508024</t>
  </si>
  <si>
    <t>PO-4500001218
Wormhole.A1.SL3 BINR</t>
  </si>
  <si>
    <t>2908506419</t>
  </si>
  <si>
    <t>2908506424</t>
  </si>
  <si>
    <t>2908506535</t>
  </si>
  <si>
    <t>D54498</t>
  </si>
  <si>
    <t>PO4500001235</t>
  </si>
  <si>
    <t>2-706-64653</t>
  </si>
  <si>
    <t>FGL0005527</t>
  </si>
  <si>
    <t>TL1220R4NNSW-POWER</t>
  </si>
  <si>
    <t>01/17/2026</t>
  </si>
  <si>
    <t>FGL0005526</t>
  </si>
  <si>
    <t>Delivery and Handling</t>
  </si>
  <si>
    <t>9116924376</t>
  </si>
  <si>
    <t>PO4500000660
TX-02001 WH Single-Galaxy Cable Bundle</t>
  </si>
  <si>
    <t>2908508922</t>
  </si>
  <si>
    <t>2908508923</t>
  </si>
  <si>
    <t>PO-30895
28-00002-1
28-00003-1</t>
  </si>
  <si>
    <t>2908508996</t>
  </si>
  <si>
    <t>2908510339</t>
  </si>
  <si>
    <t>1909807001</t>
  </si>
  <si>
    <t>131830</t>
  </si>
  <si>
    <t>PO- 4500000480
Z-TENST TW-02002 Rev 06</t>
  </si>
  <si>
    <t>88810</t>
  </si>
  <si>
    <t>PO 4500000971
Professional Services for the Period:November 1, 2025 to November 30, 2025</t>
  </si>
  <si>
    <t>01/18/2026</t>
  </si>
  <si>
    <t>10117</t>
  </si>
  <si>
    <t>PO4500000491
Riser Card Power Thermal Simulations</t>
  </si>
  <si>
    <t>7841635</t>
  </si>
  <si>
    <t>7842104</t>
  </si>
  <si>
    <t>9116933173</t>
  </si>
  <si>
    <t>PO4500000824
NJYYER-0015 - CABLE, QSFP-DD, 800G, 0.6M</t>
  </si>
  <si>
    <t>9116933174</t>
  </si>
  <si>
    <t>PO4500000824
NJYYER-0006 - CABLE QSFP-DD 800G 0.5M</t>
  </si>
  <si>
    <t>9116933175</t>
  </si>
  <si>
    <t>9116933176</t>
  </si>
  <si>
    <t>9116933177</t>
  </si>
  <si>
    <t>PO4500001049
CABLE QSFP-DD 800G 0.5M CROSS DAC</t>
  </si>
  <si>
    <t>9116933178</t>
  </si>
  <si>
    <t>9116933179</t>
  </si>
  <si>
    <t>9116933180</t>
  </si>
  <si>
    <t>FGL0005549</t>
  </si>
  <si>
    <t>1909808067</t>
  </si>
  <si>
    <t>PO-30934
IC HFC FBGA 50X50 
DEVICE# Blackhole.A0.PA</t>
  </si>
  <si>
    <t>1909809868</t>
  </si>
  <si>
    <t>2908513286</t>
  </si>
  <si>
    <t>PO-30895
28-00001-1
Blackhole.A0.FT5RT</t>
  </si>
  <si>
    <t>2908511040</t>
  </si>
  <si>
    <t>2908511253</t>
  </si>
  <si>
    <t>2908511994</t>
  </si>
  <si>
    <t>PO-30895
28-00004-1
28-00005-1</t>
  </si>
  <si>
    <t>2908511995</t>
  </si>
  <si>
    <t>2908511997</t>
  </si>
  <si>
    <t>PO-4500001218
28-00009-1
28-00011-1</t>
  </si>
  <si>
    <t>2908513006</t>
  </si>
  <si>
    <t>PO-30895
Blackhole.A0.FT8RJ</t>
  </si>
  <si>
    <t>2908515532</t>
  </si>
  <si>
    <t>01/19/2026</t>
  </si>
  <si>
    <t>2908514062</t>
  </si>
  <si>
    <t>2908514165</t>
  </si>
  <si>
    <t>2908514167</t>
  </si>
  <si>
    <t>2908515096</t>
  </si>
  <si>
    <t>2908515531</t>
  </si>
  <si>
    <t>PO-4500001218
28-00011-1</t>
  </si>
  <si>
    <t>2908516123</t>
  </si>
  <si>
    <t>01/20/2026</t>
  </si>
  <si>
    <t>2908516367</t>
  </si>
  <si>
    <t>PO-30895
28-00001-1
28-00004-1</t>
  </si>
  <si>
    <t>2908517248</t>
  </si>
  <si>
    <t>PO-30895
28-00001-1
28-00005-1</t>
  </si>
  <si>
    <t>2-706-95678</t>
  </si>
  <si>
    <t>1909816352</t>
  </si>
  <si>
    <t>PO-4500001579
Grendel2: Bump Mask</t>
  </si>
  <si>
    <t>01/21/2026</t>
  </si>
  <si>
    <t>7847675</t>
  </si>
  <si>
    <t>7846859</t>
  </si>
  <si>
    <t>7847040</t>
  </si>
  <si>
    <t>7846447</t>
  </si>
  <si>
    <t>7846344</t>
  </si>
  <si>
    <t>7846440</t>
  </si>
  <si>
    <t>IN1743422</t>
  </si>
  <si>
    <t>PO 4500000947
Dayforce Monthly Extended Fee - After Cancellation
Service Period: 12/1/2025 - 12/31/2025
Dayforce Monthly Extended Fee - After Cancellation
Service Period: 11/1/2025 - 11/30/2025</t>
  </si>
  <si>
    <t>Jessica Sharma</t>
  </si>
  <si>
    <t>9116938702</t>
  </si>
  <si>
    <t>PO4500000824
05-00019-1
AHLNJYYER-0015</t>
  </si>
  <si>
    <t>9116938703</t>
  </si>
  <si>
    <t>9116938704</t>
  </si>
  <si>
    <t>PO4500001049
05-00017-1
AHLNJYYER-0006</t>
  </si>
  <si>
    <t>9116938705</t>
  </si>
  <si>
    <t>1909816658</t>
  </si>
  <si>
    <t>2908518113</t>
  </si>
  <si>
    <t>PO-4500001218
28-00009-1</t>
  </si>
  <si>
    <t>2908518552</t>
  </si>
  <si>
    <t>2908518555</t>
  </si>
  <si>
    <t>PO-30895
28-00001-1
28-00004-1
28-00005-1
Blackhole.A3.FT</t>
  </si>
  <si>
    <t>2908518744</t>
  </si>
  <si>
    <t>2908518745</t>
  </si>
  <si>
    <t>PO-30895
28-00005-1
Blackhole.A0.FT5RT</t>
  </si>
  <si>
    <t>8600006093</t>
  </si>
  <si>
    <t>2-707-19749</t>
  </si>
  <si>
    <t>FGL0005634</t>
  </si>
  <si>
    <t>HEAT SINK HS CODE: 8473.30.90.00</t>
  </si>
  <si>
    <t>01/22/2026</t>
  </si>
  <si>
    <t>FGL0005635</t>
  </si>
  <si>
    <t>BAREBONE HS CODE: 8537.10.91.70</t>
  </si>
  <si>
    <t>FGL0005648</t>
  </si>
  <si>
    <t>Desktop Workstation</t>
  </si>
  <si>
    <t>FGL0005649</t>
  </si>
  <si>
    <t>7853355</t>
  </si>
  <si>
    <t>7852836</t>
  </si>
  <si>
    <t>2908520939</t>
  </si>
  <si>
    <t>PO-30895
Blackhole.A0.FT5RT
Blackhole.A0.FT7EA</t>
  </si>
  <si>
    <t>2908521102</t>
  </si>
  <si>
    <t>2908522443</t>
  </si>
  <si>
    <t>2908522827</t>
  </si>
  <si>
    <t>PO-30895
28-00001-1
28-00005-1
Blackhole.A2.FT</t>
  </si>
  <si>
    <t>2908522829</t>
  </si>
  <si>
    <t>PO-4500001218
Wormhole.A1.SL2
Wormhole.A1.SL3</t>
  </si>
  <si>
    <t>2-707-36238</t>
  </si>
  <si>
    <t>VAT on Ancillary, Custom Duty, Original VAT, Disbursement Fee</t>
  </si>
  <si>
    <t>7856086</t>
  </si>
  <si>
    <t>01/23/2026</t>
  </si>
  <si>
    <t>7855994</t>
  </si>
  <si>
    <t>7856479</t>
  </si>
  <si>
    <t>10541582</t>
  </si>
  <si>
    <t>PO-4500000519 , C101758A, Blackhole A0</t>
  </si>
  <si>
    <t>2908523914</t>
  </si>
  <si>
    <t>PO-30895
28-00001-1
28-00004-1
28-00005-1</t>
  </si>
  <si>
    <t>2908525873</t>
  </si>
  <si>
    <t>2908526252</t>
  </si>
  <si>
    <t>FS202601090035</t>
  </si>
  <si>
    <t>FS JAPAN CO., LTD.</t>
  </si>
  <si>
    <t>PO 4500001696
3m (10ft) Generic Compatible
400G QSFP-DD Passive Direct
Attach Copper Twinax Cable</t>
  </si>
  <si>
    <t>2908527137</t>
  </si>
  <si>
    <t>01/24/2026</t>
  </si>
  <si>
    <t>2908528343</t>
  </si>
  <si>
    <t>2908528705</t>
  </si>
  <si>
    <t>2908529275</t>
  </si>
  <si>
    <t>01/25/2026</t>
  </si>
  <si>
    <t>2908531311</t>
  </si>
  <si>
    <t>2908532389</t>
  </si>
  <si>
    <t>01/26/2026</t>
  </si>
  <si>
    <t>2908533300</t>
  </si>
  <si>
    <t>PO-30895
28-00004-1
Blackhole.A0.FT</t>
  </si>
  <si>
    <t>2908533618</t>
  </si>
  <si>
    <t>YHMIDR0017520</t>
  </si>
  <si>
    <t>416V0051026118</t>
  </si>
  <si>
    <t>Siemens (USD)</t>
  </si>
  <si>
    <t xml:space="preserve">Siemens </t>
  </si>
  <si>
    <t>PO4500001179
Combined Customer Billing Subscription - 28-Sep-2025 to 27-Sep-2026</t>
  </si>
  <si>
    <t>01/27/2026</t>
  </si>
  <si>
    <t>2908533824</t>
  </si>
  <si>
    <t>2908534313</t>
  </si>
  <si>
    <t>2908534600</t>
  </si>
  <si>
    <t>2-707-96629</t>
  </si>
  <si>
    <t>2-708-12941</t>
  </si>
  <si>
    <t>VAT on Ancillary, Custom Duty, Disbursement Fee</t>
  </si>
  <si>
    <t>C48395225-00</t>
  </si>
  <si>
    <t>Brokerage Fees
GST/HST</t>
  </si>
  <si>
    <t>7864356</t>
  </si>
  <si>
    <t>01/28/2026</t>
  </si>
  <si>
    <t xml:space="preserve">Dave Pippa
</t>
  </si>
  <si>
    <t>7860744</t>
  </si>
  <si>
    <t>7860919</t>
  </si>
  <si>
    <t>7860676</t>
  </si>
  <si>
    <t>1909833098</t>
  </si>
  <si>
    <t>1909834665</t>
  </si>
  <si>
    <t>1909835159</t>
  </si>
  <si>
    <t>2908536158</t>
  </si>
  <si>
    <t>PO-30895
Blackhole.A0.FT5RT
Blackhole.A0.FT6RT
Blackhole.A0.FT7RT</t>
  </si>
  <si>
    <t>2908536735</t>
  </si>
  <si>
    <t>2908537159</t>
  </si>
  <si>
    <t>FGL0005727</t>
  </si>
  <si>
    <t>TT BH-LOUDBOX DESKTOP WORKSTATION</t>
  </si>
  <si>
    <t>01/29/2026</t>
  </si>
  <si>
    <t>131997</t>
  </si>
  <si>
    <t>AH44Z8J</t>
  </si>
  <si>
    <t>PO-4500001551
LVO P16S G4 R9P-370 2/96 W11P</t>
  </si>
  <si>
    <t>7866808</t>
  </si>
  <si>
    <t>7867027</t>
  </si>
  <si>
    <t>7866152</t>
  </si>
  <si>
    <t>9116944321</t>
  </si>
  <si>
    <t>1909837849</t>
  </si>
  <si>
    <t>PO-30934
BH A0 Packaging</t>
  </si>
  <si>
    <t>2908539044</t>
  </si>
  <si>
    <t>PO-30895
FT &amp; SLT Testing</t>
  </si>
  <si>
    <t>2908539310</t>
  </si>
  <si>
    <t>FGL0005771</t>
  </si>
  <si>
    <t>01/30/2026</t>
  </si>
  <si>
    <t>FGL0005776</t>
  </si>
  <si>
    <t>GOODS DESCRIPTION
HEAT SINK</t>
  </si>
  <si>
    <t>16694</t>
  </si>
  <si>
    <t>PO-30715</t>
  </si>
  <si>
    <t>7870538</t>
  </si>
  <si>
    <t>7870526</t>
  </si>
  <si>
    <t>9116955040</t>
  </si>
  <si>
    <t>132164</t>
  </si>
  <si>
    <t>PO-4500000721
I-ONX Customer Rework</t>
  </si>
  <si>
    <t>21839</t>
  </si>
  <si>
    <t>1909839775</t>
  </si>
  <si>
    <t>2908542320</t>
  </si>
  <si>
    <t>2908542751</t>
  </si>
  <si>
    <t>2908543478</t>
  </si>
  <si>
    <t>PO-30895
Blackhole.A0.FT</t>
  </si>
  <si>
    <t>91270000</t>
  </si>
  <si>
    <t>2026010043644</t>
  </si>
  <si>
    <t>Charges for Services From 1/01/2026 To 1/31/2026</t>
  </si>
  <si>
    <t>01/31/2026</t>
  </si>
  <si>
    <t>INV-0026</t>
  </si>
  <si>
    <t>Vanessa Guido</t>
  </si>
  <si>
    <t>1909842623</t>
  </si>
  <si>
    <t>02/01/2026</t>
  </si>
  <si>
    <t>1909841451</t>
  </si>
  <si>
    <t>1909842467</t>
  </si>
  <si>
    <t>2908544319</t>
  </si>
  <si>
    <t>2908544515</t>
  </si>
  <si>
    <t>PO-30895
28-00002-1
28-00004-1</t>
  </si>
  <si>
    <t>1909843518</t>
  </si>
  <si>
    <t>2908546480</t>
  </si>
  <si>
    <t>PO-30895
28-00002-1
28-00003-1
28-00005-1
Blackhole.A0.FT6RT
Blackhole.A0.FT7RT</t>
  </si>
  <si>
    <t>2908546758</t>
  </si>
  <si>
    <t>PO-30895
28-00004-1</t>
  </si>
  <si>
    <t>2908545980</t>
  </si>
  <si>
    <t>PO-30895
28-00005-1</t>
  </si>
  <si>
    <t>2908546263</t>
  </si>
  <si>
    <t>20260109M01</t>
  </si>
  <si>
    <t>PO - 4500001419
TG-00003 Galaxy Blackhole Server
PO - 4500001419
S7TK BASE BD 10T W/TRAY ASSY KUV-1</t>
  </si>
  <si>
    <t>2908549021</t>
  </si>
  <si>
    <t>PO-30895
BAKE + DRY PACK 
FT1
FT5
FT8
100% LEAD SCAN 1</t>
  </si>
  <si>
    <t>02/02/2026</t>
  </si>
  <si>
    <t>2908550877</t>
  </si>
  <si>
    <t>02/03/2026</t>
  </si>
  <si>
    <t>2908550204</t>
  </si>
  <si>
    <t>PO-30895
Blackhole.A0.WS</t>
  </si>
  <si>
    <t>2908549915</t>
  </si>
  <si>
    <t>PO-30895
28-00004-01
28-00005-01</t>
  </si>
  <si>
    <t>2908550789</t>
  </si>
  <si>
    <t>PO-30895
28-00001-01</t>
  </si>
  <si>
    <t>30321620</t>
  </si>
  <si>
    <t>MathWorks (USD)</t>
  </si>
  <si>
    <t>MATLAB Startup Suite - Software Maintenance Service (08/29/2025 - 08/31/2026)</t>
  </si>
  <si>
    <t>02/04/2026</t>
  </si>
  <si>
    <t>2908553621</t>
  </si>
  <si>
    <t>2908551479</t>
  </si>
  <si>
    <t>2908551562</t>
  </si>
  <si>
    <t>2908551924</t>
  </si>
  <si>
    <t>PO-30895
34-00002-2, 34-00002-4, 34-00002-5, 34-00003-1, 34-00003-2, 34-00003-4, 34-00003-5</t>
  </si>
  <si>
    <t>2908551955</t>
  </si>
  <si>
    <t>2908552424</t>
  </si>
  <si>
    <t>PO-30895
28-00003-1
28-00005-1</t>
  </si>
  <si>
    <t>FLSI-706502</t>
  </si>
  <si>
    <t>02/05/2026</t>
  </si>
  <si>
    <t>1909855573</t>
  </si>
  <si>
    <t>PO4500001579
Grendel2: Mask Design</t>
  </si>
  <si>
    <t>0002125</t>
  </si>
  <si>
    <t>0002123</t>
  </si>
  <si>
    <t>PO4500000690
LoS TTExplorer</t>
  </si>
  <si>
    <t>2908556039</t>
  </si>
  <si>
    <t>2908554131</t>
  </si>
  <si>
    <t>PO-30895
28-00004-1
28-00005-1
Blackhole.A0.FT7EA</t>
  </si>
  <si>
    <t>2908554241</t>
  </si>
  <si>
    <t>PO-30895
28-00001-1
28-00002-1
28-00004-1
Blackhole.A0.FT7EA</t>
  </si>
  <si>
    <t>2908554710</t>
  </si>
  <si>
    <t>2908555081</t>
  </si>
  <si>
    <t>2908555151</t>
  </si>
  <si>
    <t>2908555499</t>
  </si>
  <si>
    <t>2908555500</t>
  </si>
  <si>
    <t>2908555751</t>
  </si>
  <si>
    <t>132196</t>
  </si>
  <si>
    <t>02/06/2026</t>
  </si>
  <si>
    <t>D54506</t>
  </si>
  <si>
    <t>D54505</t>
  </si>
  <si>
    <t>D54507</t>
  </si>
  <si>
    <t>D54508</t>
  </si>
  <si>
    <t>D54509</t>
  </si>
  <si>
    <t>2908558432</t>
  </si>
  <si>
    <t>2908556563</t>
  </si>
  <si>
    <t>PO-30895
34-00002-1</t>
  </si>
  <si>
    <t>2908556565</t>
  </si>
  <si>
    <t>2908556989</t>
  </si>
  <si>
    <t>2908557882</t>
  </si>
  <si>
    <t>132200</t>
  </si>
  <si>
    <t>PO-4500001182
Z-TENST 000-57363 ORION SLT NREs</t>
  </si>
  <si>
    <t>02/07/2026</t>
  </si>
  <si>
    <t>132198</t>
  </si>
  <si>
    <t>PO-4500001435
Z-TENST 06-00405-1 rev 01</t>
  </si>
  <si>
    <t>155295</t>
  </si>
  <si>
    <t>Cables Plus USA -USD</t>
  </si>
  <si>
    <t>PO4500001583
Power Connector Black SDG400 14AWG 250V</t>
  </si>
  <si>
    <t>2908559912</t>
  </si>
  <si>
    <t>2908562133</t>
  </si>
  <si>
    <t>02/08/2026</t>
  </si>
  <si>
    <t>1909862712</t>
  </si>
  <si>
    <t>2908562670</t>
  </si>
  <si>
    <t>2908563529</t>
  </si>
  <si>
    <t>PO-4500001218
Wormhole.A1.SL2 BINR</t>
  </si>
  <si>
    <t>9500027140</t>
  </si>
  <si>
    <t>PO 4500001498
00-00057-2</t>
  </si>
  <si>
    <t>02/21/2026</t>
  </si>
  <si>
    <t>9500027141</t>
  </si>
  <si>
    <t>02/24/2026</t>
  </si>
  <si>
    <t>9500027232</t>
  </si>
  <si>
    <t>03/07/2026</t>
  </si>
  <si>
    <t>TTU</t>
  </si>
  <si>
    <t>AlphaSense</t>
  </si>
  <si>
    <t>AlphaSen</t>
  </si>
  <si>
    <t>Reese Rios</t>
  </si>
  <si>
    <t>CDW DIRECT</t>
  </si>
  <si>
    <t>CDW DIRE</t>
  </si>
  <si>
    <t>duplicate payment for invoice AD77S2Q</t>
  </si>
  <si>
    <t>05/05/2025</t>
  </si>
  <si>
    <t>INV08987876</t>
  </si>
  <si>
    <t>Culligan Quench</t>
  </si>
  <si>
    <t>Culligan</t>
  </si>
  <si>
    <t>Water cooler</t>
  </si>
  <si>
    <t>CC</t>
  </si>
  <si>
    <t>EG Approved - PAY Dec 4</t>
  </si>
  <si>
    <t>05/17/2025</t>
  </si>
  <si>
    <t>INV09009043</t>
  </si>
  <si>
    <t>Q10CTE - Service</t>
  </si>
  <si>
    <t>were these paid via CC?</t>
  </si>
  <si>
    <t>609818</t>
  </si>
  <si>
    <t>O'Hagan Meyer LLP</t>
  </si>
  <si>
    <t xml:space="preserve">O'Hagan </t>
  </si>
  <si>
    <t>07/21/2025</t>
  </si>
  <si>
    <t>Bill Payment (Check)</t>
  </si>
  <si>
    <t>GET TECHNOLOGY INC</t>
  </si>
  <si>
    <t>GET TECH</t>
  </si>
  <si>
    <t>PIA for Get Technology laptops</t>
  </si>
  <si>
    <t>TWD</t>
  </si>
  <si>
    <t>08/07/2025</t>
  </si>
  <si>
    <t>Get Technology Inc REMARK=QUOTE 11407230002,11407230001 PROCUREMENT OF COMPUTER CREDIT REF 5219CMZ012080000 /CNTR/58645191/ FXCUR=TWD FXAMT=38430.0 FXEXCH=29.375 USD-TWD</t>
  </si>
  <si>
    <t>QUOTE 11408130001,11408130002</t>
  </si>
  <si>
    <t>08/21/2025</t>
  </si>
  <si>
    <t>INV18548</t>
  </si>
  <si>
    <t>R&amp;D Circuits</t>
  </si>
  <si>
    <t>R&amp;D Circ</t>
  </si>
  <si>
    <t>PO-4500000904
RD-3013040-PCB</t>
  </si>
  <si>
    <t>QUOTE 1140730001</t>
  </si>
  <si>
    <t>122022108737_Sep</t>
  </si>
  <si>
    <t>Kaiser Group</t>
  </si>
  <si>
    <t>Kaiser G</t>
  </si>
  <si>
    <t>PO4500001233
Approved by Jessica Yu
Fees for September 2025</t>
  </si>
  <si>
    <t>paid</t>
  </si>
  <si>
    <t>were these paid? if yes, fix in QBO</t>
  </si>
  <si>
    <t>INV09402767</t>
  </si>
  <si>
    <t>08/16/2025</t>
  </si>
  <si>
    <t>70516703</t>
  </si>
  <si>
    <t>Synopsys Inc.</t>
  </si>
  <si>
    <t>PO4500000511
Synopsys Cloud Credits</t>
  </si>
  <si>
    <t>08/17/2025</t>
  </si>
  <si>
    <t>INV09423773</t>
  </si>
  <si>
    <t>Q10CTE - Service (08/17/2025-11/16/2025)</t>
  </si>
  <si>
    <t>09/16/2025</t>
  </si>
  <si>
    <t>TI-EXB-20250911-001</t>
  </si>
  <si>
    <t>Ecoblox (USD)</t>
  </si>
  <si>
    <t xml:space="preserve">Ecoblox </t>
  </si>
  <si>
    <t>project engagement fee</t>
  </si>
  <si>
    <t>Bob Grim</t>
  </si>
  <si>
    <t>Hold</t>
  </si>
  <si>
    <t>HOLD</t>
  </si>
  <si>
    <t>627163</t>
  </si>
  <si>
    <t>045614</t>
  </si>
  <si>
    <t>Multicoreware Inc</t>
  </si>
  <si>
    <t>Multicor</t>
  </si>
  <si>
    <t>PO 4500000450
BUDA Compiler (SoW2 Batch2 - 3 engineers) for the month
of Aug 25</t>
  </si>
  <si>
    <t>122022108737_Oct</t>
  </si>
  <si>
    <t>PO4500001233
Approved by Jessica Yu
Fees for October 2025</t>
  </si>
  <si>
    <t>TENSTORR00007_Oct25</t>
  </si>
  <si>
    <t>Monthly Internet Services</t>
  </si>
  <si>
    <t>03/18/2025</t>
  </si>
  <si>
    <t>Vendor Credit</t>
  </si>
  <si>
    <t>PMT27915 &amp; PMT49422</t>
  </si>
  <si>
    <t>OpenPath Security</t>
  </si>
  <si>
    <t>OpenPath</t>
  </si>
  <si>
    <t>John Rowe</t>
  </si>
  <si>
    <t>Credit memo</t>
  </si>
  <si>
    <t>07/04/2025</t>
  </si>
  <si>
    <t>0625-S-INV1</t>
  </si>
  <si>
    <t>Oyster HR Inc</t>
  </si>
  <si>
    <t>Oyster H</t>
  </si>
  <si>
    <t>Settlement | OY-Tens-ib0uGUJ2-0625-S-INV1</t>
  </si>
  <si>
    <t>auto-pay</t>
  </si>
  <si>
    <t>989545175 02</t>
  </si>
  <si>
    <t>Russell A. Farrow (TTU)</t>
  </si>
  <si>
    <t>Brokerage Fee, Disbursement Fee, Customs Duty</t>
  </si>
  <si>
    <t>315032346</t>
  </si>
  <si>
    <t>Dow Jones</t>
  </si>
  <si>
    <t>Dow Jone</t>
  </si>
  <si>
    <t>Credit to invoice 79640805</t>
  </si>
  <si>
    <t>2292</t>
  </si>
  <si>
    <t>Common Room</t>
  </si>
  <si>
    <t>Common R</t>
  </si>
  <si>
    <t>4 Additional Common Room Seats.</t>
  </si>
  <si>
    <t>Approve by Eric to pay 12/11 - awaiting banking</t>
  </si>
  <si>
    <t>SIN068655</t>
  </si>
  <si>
    <t>PayTech Lockbox</t>
  </si>
  <si>
    <t xml:space="preserve">PayTech </t>
  </si>
  <si>
    <t>Tenstorrent - Global Implementation-Project</t>
  </si>
  <si>
    <t>25177307</t>
  </si>
  <si>
    <t>PitchBook</t>
  </si>
  <si>
    <t>PitchBoo</t>
  </si>
  <si>
    <t>Pitchbook Platform (01-Oct-25 to 31-Dec-25)</t>
  </si>
  <si>
    <t>10/25/2025</t>
  </si>
  <si>
    <t>SIN068758</t>
  </si>
  <si>
    <t>67128</t>
  </si>
  <si>
    <t>DES Architects + Engineers, Inc.</t>
  </si>
  <si>
    <t>DES Arch</t>
  </si>
  <si>
    <t>Need banking information, approved by Eric to pay 12/11</t>
  </si>
  <si>
    <t>152449</t>
  </si>
  <si>
    <t>Hogan Taylor</t>
  </si>
  <si>
    <t>Hogan Ta</t>
  </si>
  <si>
    <t>PO4500000551
September 2025 Retainer - Executive Search 1</t>
  </si>
  <si>
    <t>Katy Cottingham</t>
  </si>
  <si>
    <t>Follow up by business</t>
  </si>
  <si>
    <t>3180</t>
  </si>
  <si>
    <t>Bandalier Inc</t>
  </si>
  <si>
    <t>Bandalie</t>
  </si>
  <si>
    <t>Professional Services - Functional resource provided for
maintenance of Tenstorrent’s CLM application</t>
  </si>
  <si>
    <t>Alexander Munn</t>
  </si>
  <si>
    <t>11022</t>
  </si>
  <si>
    <t>ASICSoft, Inc.</t>
  </si>
  <si>
    <t>ASICSoft</t>
  </si>
  <si>
    <t>Consulting Fees for the month of September, 2025</t>
  </si>
  <si>
    <t>Dave Johnson</t>
  </si>
  <si>
    <t>Recruiting following up for payment</t>
  </si>
  <si>
    <t>361857</t>
  </si>
  <si>
    <t>Nexustek</t>
  </si>
  <si>
    <t>PO4710 - vCIO Cloud Identity Entra Integration</t>
  </si>
  <si>
    <t>2025-3133</t>
  </si>
  <si>
    <t>Immigration Law Group LLP</t>
  </si>
  <si>
    <t>Immigrat</t>
  </si>
  <si>
    <t>PO4500000508/00010
Legal services for September25</t>
  </si>
  <si>
    <t>Jessica Yu</t>
  </si>
  <si>
    <t>2025-3134</t>
  </si>
  <si>
    <t>2025-3135</t>
  </si>
  <si>
    <t>2025-3188</t>
  </si>
  <si>
    <t>2025-3253</t>
  </si>
  <si>
    <t>2025-3254</t>
  </si>
  <si>
    <t>2025-3255</t>
  </si>
  <si>
    <t>2025-3256</t>
  </si>
  <si>
    <t>2025-3257</t>
  </si>
  <si>
    <t>2025-3258</t>
  </si>
  <si>
    <t>2025-3259</t>
  </si>
  <si>
    <t>2025-3260</t>
  </si>
  <si>
    <t>2025-3261</t>
  </si>
  <si>
    <t>2025-3262</t>
  </si>
  <si>
    <t>2025-3263</t>
  </si>
  <si>
    <t>2025-3264</t>
  </si>
  <si>
    <t>2025-3265</t>
  </si>
  <si>
    <t>2025-3266</t>
  </si>
  <si>
    <t>2025-3267</t>
  </si>
  <si>
    <t>2025-3268</t>
  </si>
  <si>
    <t>2025-3269</t>
  </si>
  <si>
    <t>2025-3270</t>
  </si>
  <si>
    <t>2025-3271</t>
  </si>
  <si>
    <t>045658</t>
  </si>
  <si>
    <t>PO 4500000450
Model/CST team for the month of Sep 25</t>
  </si>
  <si>
    <t>INV-US-10909</t>
  </si>
  <si>
    <t>WekaIO</t>
  </si>
  <si>
    <t>PO-4500001077, Initial Weka Installation and Configuration (remote) and Flash tier license w/ SnapShot and high perf protocol services - POSIX + NFS-W + S3 + SMB-W</t>
  </si>
  <si>
    <t>2317224</t>
  </si>
  <si>
    <t>Holland &amp; Hart</t>
  </si>
  <si>
    <t xml:space="preserve">Holland </t>
  </si>
  <si>
    <t>Matter No. 0001 - General Real Estate</t>
  </si>
  <si>
    <t>Alex Munn</t>
  </si>
  <si>
    <t>1785852</t>
  </si>
  <si>
    <t>TrumpCard Holdings LLC</t>
  </si>
  <si>
    <t>TrumpCar</t>
  </si>
  <si>
    <t>E.U.V.</t>
  </si>
  <si>
    <t>250929</t>
  </si>
  <si>
    <t>Biddle Law PC</t>
  </si>
  <si>
    <t>Biddle L</t>
  </si>
  <si>
    <t>PO4500001045
Open Chiplet Architecture (OCA)-related licensing, collaborations and potential standardization</t>
  </si>
  <si>
    <t>Alex Munn following up</t>
  </si>
  <si>
    <t>M10-0679455</t>
  </si>
  <si>
    <t>Aon Consulting Inc.</t>
  </si>
  <si>
    <t>Aon Cons</t>
  </si>
  <si>
    <t>Equity dilution modeling; Executive compensation market assessment; Non-executive equity guidelines market data</t>
  </si>
  <si>
    <t>Juliana Bednarski</t>
  </si>
  <si>
    <t>M10-0679441</t>
  </si>
  <si>
    <t>PO4500000898
Ad hoc questions related to employee rewards / broad-based compensation (Anthony Scardino)$2,247.00 &amp; Executive
compensation market assessment; Non-executive equity guidelines market data.$31,364.50</t>
  </si>
  <si>
    <t>AG3FS8E</t>
  </si>
  <si>
    <t>PO4500001149
LVO X9 U7-268V 1/32 W11P
Serial No: 1S21Q60025USPF599EN2</t>
  </si>
  <si>
    <t>Rajvi &amp; vendor following up - shipments stopped for US</t>
  </si>
  <si>
    <t>2502787</t>
  </si>
  <si>
    <t>Kreab Iberia, S.L., Unipersonal</t>
  </si>
  <si>
    <t>Kreab Ib</t>
  </si>
  <si>
    <t>PO4500001172
Public Affair Services - September 2025</t>
  </si>
  <si>
    <t>TI-EXB-20251002-001</t>
  </si>
  <si>
    <t>Retainer for Q3 2025 (July - September 2025)</t>
  </si>
  <si>
    <t>007</t>
  </si>
  <si>
    <t>Aster Flare Technologies</t>
  </si>
  <si>
    <t>Aster Fl</t>
  </si>
  <si>
    <t>Supplemental Charge for changing
Assembly Scope</t>
  </si>
  <si>
    <t>NO.TST-02-091725-006</t>
  </si>
  <si>
    <t>Perrien</t>
  </si>
  <si>
    <t>PO30989
Translation</t>
  </si>
  <si>
    <t>Dakota Luther</t>
  </si>
  <si>
    <t>BMC-TT-134</t>
  </si>
  <si>
    <t>Blue Moon Cyber (FKA Blake Chun)</t>
  </si>
  <si>
    <t>Blue Moo</t>
  </si>
  <si>
    <t>IT consulting support services for May to July 2025</t>
  </si>
  <si>
    <t>2025L000049</t>
  </si>
  <si>
    <t>Uría Menéndez</t>
  </si>
  <si>
    <t>Uría Men</t>
  </si>
  <si>
    <t>PO4500001378
Legal advice on first steps of Tenstorrent's investment landing in Spain</t>
  </si>
  <si>
    <t>AG3MA7H</t>
  </si>
  <si>
    <t>PO4500001149
LVO PREMIER SUP+ 3Y UPG F/1Y CARRYIN
Electronic distribution - NO MEDIA
Manufacturer Part Number: 5WS1L39383</t>
  </si>
  <si>
    <t>AG3M47A</t>
  </si>
  <si>
    <t>PO4500001073
MICRON 3840GB 7450 PRO NVME U.3 15MM</t>
  </si>
  <si>
    <t>Safeguard Global</t>
  </si>
  <si>
    <t>Safeguar</t>
  </si>
  <si>
    <t>Ignitarium Inc</t>
  </si>
  <si>
    <t>Ignitari</t>
  </si>
  <si>
    <t>ACCT PARTY=/325091144951 IGNITARIUM INC 2150 N.FIRST STREET, #400 SAN JOSE 95131 CALIFORNIA US</t>
  </si>
  <si>
    <t>SIN068876</t>
  </si>
  <si>
    <t>Kenny &amp; Company Management Consulting</t>
  </si>
  <si>
    <t xml:space="preserve">Kenny &amp; </t>
  </si>
  <si>
    <t>10110</t>
  </si>
  <si>
    <t>Huggins Reddien LLP</t>
  </si>
  <si>
    <t xml:space="preserve">Huggins </t>
  </si>
  <si>
    <t>Approved by Alexander Munn, Commercial Contracts Matters (10-01-2025 - 10-31-2025)</t>
  </si>
  <si>
    <t>882045</t>
  </si>
  <si>
    <t>Warren Communications News</t>
  </si>
  <si>
    <t>Warren C</t>
  </si>
  <si>
    <t>PO-4500000649
Approved by Andy Wall
EXPORT COMPLIANCE DAILY</t>
  </si>
  <si>
    <t>IESI263503</t>
  </si>
  <si>
    <t>Select Technology Sales and Distribution (EUR)</t>
  </si>
  <si>
    <t>Select T</t>
  </si>
  <si>
    <t>MacBook Pro 16-inch, Apple M4 Pro Chip, 14C CPU,
20C GPU, 24GB UM, 512GB SSD - Space Black
Serial No.: SGHWJC9WNJT</t>
  </si>
  <si>
    <t>1825</t>
  </si>
  <si>
    <t>Growth by Design Talent, LLC</t>
  </si>
  <si>
    <t>Growth b</t>
  </si>
  <si>
    <t>50% of fees for recruiting advisory support, 1 @USD 10,600.00</t>
  </si>
  <si>
    <t>Justin Patrizio</t>
  </si>
  <si>
    <t>0000799918</t>
  </si>
  <si>
    <t>AVE Santa Clara</t>
  </si>
  <si>
    <t>AVE Sant</t>
  </si>
  <si>
    <t>Rent from 10/06/2025 to 10/31/2025 for 26 day(s) @ 165.00 per day 
Monthly Parking from 10/06/2025 to 10/31/2025 for 26 day(s) @ 3.33 per day</t>
  </si>
  <si>
    <t>12855</t>
  </si>
  <si>
    <t>SIA - Semiconductor Industry Association</t>
  </si>
  <si>
    <t>SIA - Se</t>
  </si>
  <si>
    <t>PO4500001303
SIA Year 2025 and 2026 Charter Membership</t>
  </si>
  <si>
    <t>MI185912</t>
  </si>
  <si>
    <t>Morningside Translations, LLC</t>
  </si>
  <si>
    <t>Mornings</t>
  </si>
  <si>
    <t>PO4500001116
Translation for Galaxy</t>
  </si>
  <si>
    <t>CLLIC251001</t>
  </si>
  <si>
    <t>CoreLab</t>
  </si>
  <si>
    <t>PO4500001127
License Fee pursuant to Corelab Master RISC-V Core
IP License Agreement dated March 14, 2025
 - Milestone: REL Milestone of Cypress 32b</t>
  </si>
  <si>
    <t>Rae Parnmukh</t>
  </si>
  <si>
    <t>2446201</t>
  </si>
  <si>
    <t>Telus Health</t>
  </si>
  <si>
    <t>Telus He</t>
  </si>
  <si>
    <t>Professional Services</t>
  </si>
  <si>
    <t>2446200</t>
  </si>
  <si>
    <t>B20356015</t>
  </si>
  <si>
    <t>SHI International Corp.</t>
  </si>
  <si>
    <t>SHI Inte</t>
  </si>
  <si>
    <t>PO4500000676
32-PORT 100GBE QSFP28 SWITCH, ONIE
SOFTWARE INSTALLER, BRCM
Hardware</t>
  </si>
  <si>
    <t>Ericson Antonio</t>
  </si>
  <si>
    <t>B20362231</t>
  </si>
  <si>
    <t>PO4500001063
Fleet Premium Subscription 
Multiple platforms English Optl upd via downld Software</t>
  </si>
  <si>
    <t>B20362002</t>
  </si>
  <si>
    <t>PO4500001239
Opengear CM8132 - console server
Hardware</t>
  </si>
  <si>
    <t>TEN-000040</t>
  </si>
  <si>
    <t>Technique Talent</t>
  </si>
  <si>
    <t>Techniqu</t>
  </si>
  <si>
    <t>PO4500001439
Tenstorrent &amp; Technique Talent (Invoice #40) - Final invoice for EA to the CXO</t>
  </si>
  <si>
    <t>1995</t>
  </si>
  <si>
    <t>Integrate 2 Cloud</t>
  </si>
  <si>
    <t>Support Agreement (25% deposit)</t>
  </si>
  <si>
    <t>SIN068999</t>
  </si>
  <si>
    <t>SIN069000</t>
  </si>
  <si>
    <t>Tenstorrent - Global Change Management-Project</t>
  </si>
  <si>
    <t>1025-S-INV1</t>
  </si>
  <si>
    <t>Settlement Oyster Services Invoice of October 2025</t>
  </si>
  <si>
    <t>630024</t>
  </si>
  <si>
    <t>Norris, Michelle</t>
  </si>
  <si>
    <t>SLINV114269</t>
  </si>
  <si>
    <t>ANSI</t>
  </si>
  <si>
    <t>PO4500001331
SUBSCRIPTION ISO, IEC, Membership</t>
  </si>
  <si>
    <t>208A015839</t>
  </si>
  <si>
    <t>PricewaterhouseCoopers (PwC)</t>
  </si>
  <si>
    <t>PO4500001030
2024 Extensions Tax Services</t>
  </si>
  <si>
    <t>Connie Chan</t>
  </si>
  <si>
    <t>Y: PO4500001030</t>
  </si>
  <si>
    <t>TENSTORR00003_Nov25</t>
  </si>
  <si>
    <t>34544</t>
  </si>
  <si>
    <t>Listo Global, Inc.</t>
  </si>
  <si>
    <t>Listo Gl</t>
  </si>
  <si>
    <t>Dustin Beadle - Base Salary - October 2025</t>
  </si>
  <si>
    <t>4139</t>
  </si>
  <si>
    <t>Clark Street Associates</t>
  </si>
  <si>
    <t>Clark St</t>
  </si>
  <si>
    <t>PO4500000083
Consulting Services for Oct 20 - Nov 19, 2025</t>
  </si>
  <si>
    <t>Amr Elashmawi</t>
  </si>
  <si>
    <t>INV5614</t>
  </si>
  <si>
    <t>Kharon</t>
  </si>
  <si>
    <t>PO-4500001406
ClearView, GraphCast - 50%, BIS 50+and Kharon Brief</t>
  </si>
  <si>
    <t>5868369</t>
  </si>
  <si>
    <t>Arthur J Gallagher &amp; Co. Insurance Brokers</t>
  </si>
  <si>
    <t>Arthur J</t>
  </si>
  <si>
    <t>25-26 Bond</t>
  </si>
  <si>
    <t>USPDS167788_1</t>
  </si>
  <si>
    <t>Jones Lang LaSalle Americas, Inc.</t>
  </si>
  <si>
    <t>PO4500001379
September 2025 Project Management Fee</t>
  </si>
  <si>
    <t>AG5LM4K</t>
  </si>
  <si>
    <t>PO4500001204
DELL 5690 U7-155H 32GB 512GB W11P
Manufacturer Part Number: 58JKH
Serial No: B7785C4
Serial No: H4885C4
Serial No: 3MF85C4
Serial No: 4MQ85C4</t>
  </si>
  <si>
    <t>20038</t>
  </si>
  <si>
    <t>Betts Recruiting, Inc.</t>
  </si>
  <si>
    <t>Betts Re</t>
  </si>
  <si>
    <t>Initial Search Fee
Non-refundable advance payment on candidate search - CL-11172025-20038</t>
  </si>
  <si>
    <t>2361933981</t>
  </si>
  <si>
    <t>Amazon Web Services, Inc. (AWS)</t>
  </si>
  <si>
    <t>Amazon W</t>
  </si>
  <si>
    <t>AWS Service Charges (October 1 - October 31 , 2025)</t>
  </si>
  <si>
    <t>26093</t>
  </si>
  <si>
    <t>SPEC</t>
  </si>
  <si>
    <t>PO 4500001486
2026 SPEC OSG Annual Dues</t>
  </si>
  <si>
    <t>Luke Yen</t>
  </si>
  <si>
    <t>2178422</t>
  </si>
  <si>
    <t>Akin Gump Strauss Hauer &amp; Feld LLP</t>
  </si>
  <si>
    <t>Akin Gum</t>
  </si>
  <si>
    <t>Approved by Andy Wall
EXPORT CONTROLS AND SANCTIONS ADVICE</t>
  </si>
  <si>
    <t>18008614</t>
  </si>
  <si>
    <t>Baker Botts LLP</t>
  </si>
  <si>
    <t>Baker Bo</t>
  </si>
  <si>
    <t>PO 4500000507
IP Advice (094362.0101)</t>
  </si>
  <si>
    <t>AG5T31Q</t>
  </si>
  <si>
    <t>PO4500001204
DELL 1YR BASIC ONSITE TO 3YR PROSUP
Manufacturer Part Number: 824-7874
Electronic distribution - NO MEDIA</t>
  </si>
  <si>
    <t>S00617238</t>
  </si>
  <si>
    <t>Logistics Plus Inc.</t>
  </si>
  <si>
    <t>Logistic</t>
  </si>
  <si>
    <t>Importer of Record Service (minimum) , Handling Fee</t>
  </si>
  <si>
    <t>AG5Y88J</t>
  </si>
  <si>
    <t>PO4500001202
DELL 5490 U7_165H 512/32 W11P
Serial No: JJ0HCC4</t>
  </si>
  <si>
    <t>208A050480</t>
  </si>
  <si>
    <t>PO4500000749
Progress invoice for professional services pursuant to the Statement of Work dated
June 23, 2025 in connection with 2025 TP Planning</t>
  </si>
  <si>
    <t>Y: PO4500000749</t>
  </si>
  <si>
    <t>1300489101</t>
  </si>
  <si>
    <t>TaylorWessing (Germany)</t>
  </si>
  <si>
    <t>TaylorWe</t>
  </si>
  <si>
    <t>Tenstorrent INC / Advice on opening up of German subsidiary and business expansion in Germany (EUR 1,517.00)
Approved Alexander Munn</t>
  </si>
  <si>
    <t>8840.1-1</t>
  </si>
  <si>
    <t>Green Circuits, Inc.</t>
  </si>
  <si>
    <t>Green Ci</t>
  </si>
  <si>
    <t>PO-4500001187
ASSEMBLY and NRE, Service</t>
  </si>
  <si>
    <t>1569</t>
  </si>
  <si>
    <t>OpenReq Inc</t>
  </si>
  <si>
    <t xml:space="preserve">OpenReq </t>
  </si>
  <si>
    <t>Bernard 10/22 - 11/21</t>
  </si>
  <si>
    <t>4000338</t>
  </si>
  <si>
    <t>Fish &amp; Richardson</t>
  </si>
  <si>
    <t>Fish &amp; R</t>
  </si>
  <si>
    <t>PO4500000245
Approved by Alexander Munn
Legal Fees - Sep 2025</t>
  </si>
  <si>
    <t>162</t>
  </si>
  <si>
    <t>Colberts Services Inc.</t>
  </si>
  <si>
    <t>Colberts</t>
  </si>
  <si>
    <t>PO 4500000625, Colberts Services Inc - Oct 2025</t>
  </si>
  <si>
    <t>208A051161</t>
  </si>
  <si>
    <t>PO4500001030
Invoice for professional services pursuant to the Statement of Work dated August 5,
2025 in connection with FY24 TP Report.</t>
  </si>
  <si>
    <t>return of previous wire for invoice 2361933981</t>
  </si>
  <si>
    <t>87372</t>
  </si>
  <si>
    <t>THE COLLECTIVE</t>
  </si>
  <si>
    <t>THE COLL</t>
  </si>
  <si>
    <t>PO4500001563
Around Task Chair, Mesh Back, 4D Arms</t>
  </si>
  <si>
    <t>10/24/2025</t>
  </si>
  <si>
    <t>TEN25Q3</t>
  </si>
  <si>
    <t>Vita Planning Group</t>
  </si>
  <si>
    <t>Vita Pla</t>
  </si>
  <si>
    <t>PO4500000608
Quarterly rate of 0.0625% of plan assets</t>
  </si>
  <si>
    <t>003567</t>
  </si>
  <si>
    <t>Benepass</t>
  </si>
  <si>
    <t>Annual Plan</t>
  </si>
  <si>
    <t>25</t>
  </si>
  <si>
    <t>Work and All (Kwon)</t>
  </si>
  <si>
    <t>Work and</t>
  </si>
  <si>
    <t>Rent for 2025-12-01 ~ 2025-12-31 (KRW5,269,660)</t>
  </si>
  <si>
    <t>Steve Kim</t>
  </si>
  <si>
    <t>WYPI251120CA02</t>
  </si>
  <si>
    <t>ANHUI WANYI SCIENCE &amp;TECHNOLOGY CO., LTD.</t>
  </si>
  <si>
    <t>ANHUI WA</t>
  </si>
  <si>
    <t>96560815</t>
  </si>
  <si>
    <t>Yoh Services LLC</t>
  </si>
  <si>
    <t>Yoh Serv</t>
  </si>
  <si>
    <t>Perm Placement: Siddhant Nadkarni W/E10/31/25</t>
  </si>
  <si>
    <t>20251027-045</t>
  </si>
  <si>
    <t>NexTech Capital</t>
  </si>
  <si>
    <t xml:space="preserve">NexTech </t>
  </si>
  <si>
    <t>Placement: Dileep Revanasiddappa</t>
  </si>
  <si>
    <t>2503126</t>
  </si>
  <si>
    <t>PO4500001172
Public Affair Services - October 2025</t>
  </si>
  <si>
    <t>AG6WR8D</t>
  </si>
  <si>
    <t>PO4500001202
DELL 5490 U7_165H 512/32 W11P</t>
  </si>
  <si>
    <t>MacBook Pro 16-inch, Apple M4 Pro Chip, 14C CPU,
20C GPU, 24GB UM, 512GB SSD - Space Black
Serial No.: SC45H4727QF</t>
  </si>
  <si>
    <t>1020</t>
  </si>
  <si>
    <t>Baya Systems, Inc.</t>
  </si>
  <si>
    <t>Baya Sys</t>
  </si>
  <si>
    <t>Baya IP License KMA.1</t>
  </si>
  <si>
    <t>Alpesh Oza</t>
  </si>
  <si>
    <t>No PO?</t>
  </si>
  <si>
    <t>1021</t>
  </si>
  <si>
    <t>1022</t>
  </si>
  <si>
    <t>Baya IP License KMA.2</t>
  </si>
  <si>
    <t>98IV15277</t>
  </si>
  <si>
    <t>Air freight, Inland Trucking, Airport Transfer, Handling fee, Destination Charges</t>
  </si>
  <si>
    <t>INV105795545</t>
  </si>
  <si>
    <t>GitHub, Inc.</t>
  </si>
  <si>
    <t xml:space="preserve">GitHub, </t>
  </si>
  <si>
    <t>PO4500000750
GitHub Enterprise Annual -- Proration
Oct 28, 2025 - May 25, 2026</t>
  </si>
  <si>
    <t>195616038 01</t>
  </si>
  <si>
    <t>Brokerage Fee, Disbursement Fee and Customs Duty</t>
  </si>
  <si>
    <t>3409</t>
  </si>
  <si>
    <t>UDE, INC.</t>
  </si>
  <si>
    <t>UDE, INC</t>
  </si>
  <si>
    <t>SERVICES</t>
  </si>
  <si>
    <t>68</t>
  </si>
  <si>
    <t>AESEMI</t>
  </si>
  <si>
    <t>PO-4500001523
Chipnation Event Sponsorship</t>
  </si>
  <si>
    <t>98IV15286</t>
  </si>
  <si>
    <t>Air freight, PICKUP/APPT/LIFTGATE , Airport Transfer, Handling fee, Insurance and DG FEE/HANDLING</t>
  </si>
  <si>
    <t>TT-002</t>
  </si>
  <si>
    <t>A2 Labs, Inc. (d/b/a Mako, Inc.)</t>
  </si>
  <si>
    <t>A2 Labs,</t>
  </si>
  <si>
    <t>PO-4500001157
Delivery of Validation Pipeline</t>
  </si>
  <si>
    <t>Pending delivery</t>
  </si>
  <si>
    <t>98IV15301</t>
  </si>
  <si>
    <t>HK2510-162</t>
  </si>
  <si>
    <t>weConnect Hong Kong Limited</t>
  </si>
  <si>
    <t>weConnec</t>
  </si>
  <si>
    <t>PO-4500001042
US Finance Function Manpower Support - Finance
manpower support for the period 1 Oct - 31 Oct 2025</t>
  </si>
  <si>
    <t>Shan Zhu</t>
  </si>
  <si>
    <t>VL/25-26/191</t>
  </si>
  <si>
    <t>Vayavya Labs</t>
  </si>
  <si>
    <t xml:space="preserve">Vayavya </t>
  </si>
  <si>
    <t>PO4500000305 - IT &amp; Design Software Services Export</t>
  </si>
  <si>
    <t>48IV07331</t>
  </si>
  <si>
    <t>Air freight, EXW, Airline I.S.C Charges, Inland Trucking (AUS), Document Turnover Fee, (DETENTION), Inland Trucking (LTL CAN)</t>
  </si>
  <si>
    <t>IESI275796</t>
  </si>
  <si>
    <t>PO4500001307
BTO MacBook Pro 16-inch, Apple M4 Pro Chip, 14C
CPU, 20C GPU, 24GB UM, 512GB SSD - Space Black
US KB EU PS
Serial No.: SJ9N9W6CH6T</t>
  </si>
  <si>
    <t>G4233425</t>
  </si>
  <si>
    <t>HireRight</t>
  </si>
  <si>
    <t>HireRigh</t>
  </si>
  <si>
    <t>Background Screening Services</t>
  </si>
  <si>
    <t>INV04777</t>
  </si>
  <si>
    <t>Verilab, Inc.</t>
  </si>
  <si>
    <t>Verilab,</t>
  </si>
  <si>
    <t>PO4500001094
2025-08_4500001094_Emulation_DT through 31-Oct-2025</t>
  </si>
  <si>
    <t>154858</t>
  </si>
  <si>
    <t>PO4500000551
October 2025 Retainer - Executive Search 1</t>
  </si>
  <si>
    <t>251034</t>
  </si>
  <si>
    <t>2025-3537</t>
  </si>
  <si>
    <t>PO4500000508
Legal services for October25</t>
  </si>
  <si>
    <t>2025-3538</t>
  </si>
  <si>
    <t>2025-3539</t>
  </si>
  <si>
    <t>PO4500000508
ICM Work Authorization Tracking Fee for 22 Interns</t>
  </si>
  <si>
    <t>2025-3540</t>
  </si>
  <si>
    <t>2025-3541</t>
  </si>
  <si>
    <t>2025-3542</t>
  </si>
  <si>
    <t>2025-3543</t>
  </si>
  <si>
    <t>045694</t>
  </si>
  <si>
    <t>PO 4500000450
OPs Compiler (US engineer) for the month of Oct 25</t>
  </si>
  <si>
    <t>363932</t>
  </si>
  <si>
    <t>PO8879-Project Work</t>
  </si>
  <si>
    <t>2025-3534</t>
  </si>
  <si>
    <t>PO4500000508
TN (POE) Application for ZHAO, Tian Bo</t>
  </si>
  <si>
    <t>2025-3535</t>
  </si>
  <si>
    <t>PO4500000508
H-1B RFE Response for HWANG, Chi-En</t>
  </si>
  <si>
    <t>2025-3536</t>
  </si>
  <si>
    <t>PO4500000508
Education Evaluation for MOHIUDDIN, Hammad</t>
  </si>
  <si>
    <t>INV-0002974</t>
  </si>
  <si>
    <t>IQTalent</t>
  </si>
  <si>
    <t>October 31, 2025 Recruiting &amp; Sourcing</t>
  </si>
  <si>
    <t xml:space="preserve">approved </t>
  </si>
  <si>
    <t>251116W010087</t>
  </si>
  <si>
    <t>Worldwide Express</t>
  </si>
  <si>
    <t>Worldwid</t>
  </si>
  <si>
    <t>Freight charges</t>
  </si>
  <si>
    <t>2025-2019</t>
  </si>
  <si>
    <t>Gourley &amp; Associates</t>
  </si>
  <si>
    <t xml:space="preserve">Gourley </t>
  </si>
  <si>
    <t>To offset prepayment to Gourley &amp; Associates</t>
  </si>
  <si>
    <t>0000801412</t>
  </si>
  <si>
    <t>Rent from 11/01/2025 to 11/30/2025 for 30 day(s) @ 165.00 per day 
Monthly Parking from 11/01/2025 to 11/30/2025 for 1 month(s) @ 100.00 per month</t>
  </si>
  <si>
    <t>2370041889</t>
  </si>
  <si>
    <t>Overdue</t>
  </si>
  <si>
    <t>2370060129</t>
  </si>
  <si>
    <t>AWS Service Charges (October 1 - October 31, 2025)</t>
  </si>
  <si>
    <t>AG7I74M</t>
  </si>
  <si>
    <t>PO4500001202
DELL 1YR BASIC ONSITE TO 3YR PROSUP</t>
  </si>
  <si>
    <t>852807888</t>
  </si>
  <si>
    <t>Thomson Reuters</t>
  </si>
  <si>
    <t xml:space="preserve">Thomson </t>
  </si>
  <si>
    <t>Approved by Alexander Munn
ONLINE/SOFTWARE SUBSCRIPTION CHARGES</t>
  </si>
  <si>
    <t>122020232122</t>
  </si>
  <si>
    <t>Fees for December 2025</t>
  </si>
  <si>
    <t>S2023728-1225</t>
  </si>
  <si>
    <t>Santa Clara Gateway (Irvine Company)</t>
  </si>
  <si>
    <t>Santa Cl</t>
  </si>
  <si>
    <t>SUBMETER-10/6/2025-11/5/2025</t>
  </si>
  <si>
    <t>D8B49B66-0016</t>
  </si>
  <si>
    <t>Tailscale Inc. (USD)</t>
  </si>
  <si>
    <t>Tailscal</t>
  </si>
  <si>
    <t>PO4500000784
Enterprise Credit-based
Aug 1, 2025 – Aug 1, 2026</t>
  </si>
  <si>
    <t>Grace following up</t>
  </si>
  <si>
    <t>4629233</t>
  </si>
  <si>
    <t>Invoice # 2134563 of the amount of $ 0.00 is charged late fees at 1% interest per month.</t>
  </si>
  <si>
    <t>4628778</t>
  </si>
  <si>
    <t>Invoice # 2241099 of the amount of $ 0.00 is charged late fees at 1% interest per month.</t>
  </si>
  <si>
    <t>4617015</t>
  </si>
  <si>
    <t>Invoice # 2188584 of the amount of $ 0.00 is charged late fees at 1% interest per month.</t>
  </si>
  <si>
    <t>4610201</t>
  </si>
  <si>
    <t>Invoice # 1920992 of the amount of $ 0.00 is charged late fees at 1% interest per month.</t>
  </si>
  <si>
    <t>RV38751457</t>
  </si>
  <si>
    <t>PO4500001059
Macbook Pro -Taiwan</t>
  </si>
  <si>
    <t>98IV14675</t>
  </si>
  <si>
    <t>Air Freight/MIN, Inland Trucking/MIN, AIRPORT TRANSFER/MIN, Handling Fee, DESTINATION CHARGES, DESTINATION DUTIES &amp; TAXES</t>
  </si>
  <si>
    <t>98IV15092</t>
  </si>
  <si>
    <t>Air Freight, Inland Trucking, AIRPORT TRANSFER/MIN, Handling Fee, DESTINATION CHARGES, DESTINATION TAX</t>
  </si>
  <si>
    <t>TEN25Q4G</t>
  </si>
  <si>
    <t>PO4500001364
4th Quarter: 10.01.25-12.31.25
International Consulting Services
$27,000/Year - Billed Quarterly
Up to 6 Countries:
Canada, Germany, India, Ireland, Japan, Serbia
First Two Countries Subsidized by US Benefits</t>
  </si>
  <si>
    <t>1001120022</t>
  </si>
  <si>
    <t>Greenberg Traurig, LLP</t>
  </si>
  <si>
    <t>Greenber</t>
  </si>
  <si>
    <t>PO4500001412
FOR PROFESSIONAL SERVICES RENDERED
during the period ended July 31, 2025</t>
  </si>
  <si>
    <t>1001201897</t>
  </si>
  <si>
    <t>PO4500001412
FOR PROFESSIONAL SERVICES RENDERED
during the period ended October 31, 2025</t>
  </si>
  <si>
    <t>IESI285204</t>
  </si>
  <si>
    <t>BTO MacBook Pro 16-inch, Apple M4 Pro Chip, 14C CPU, 20C GPU, 24GB UM, 512GB SSD - Space Black US KB EU PS</t>
  </si>
  <si>
    <t>IESI282456</t>
  </si>
  <si>
    <t>MacBook Pro 16-inch, Apple M4 Pro Chip, 14C CPU, 20C GPU, 24GB UM, 512GB SSD - Space Black</t>
  </si>
  <si>
    <t>IESI281109</t>
  </si>
  <si>
    <t>5259102</t>
  </si>
  <si>
    <t>Rahi Systems Inc</t>
  </si>
  <si>
    <t>Rahi Sys</t>
  </si>
  <si>
    <t>PO-4500001190
Professional Services - Consulting, Project Management Services, Travel</t>
  </si>
  <si>
    <t>Rhiannon Hughes</t>
  </si>
  <si>
    <t>2511-00002</t>
  </si>
  <si>
    <t>BlueBlox GmbH</t>
  </si>
  <si>
    <t>BlueBlox</t>
  </si>
  <si>
    <t>1. Tenstorrent IOR/EOR Design &amp; Deployment :: for
01.09.2025 - 25.10.2025</t>
  </si>
  <si>
    <t>CHF</t>
  </si>
  <si>
    <t>INV106354093</t>
  </si>
  <si>
    <t>GitHub Advanced Security Usage
Oct 01, 2025 - Oct 31, 2025</t>
  </si>
  <si>
    <t>10220</t>
  </si>
  <si>
    <t>PO4500000636
Approved by Alexander Munn, Commercial Contracts Matters (11-03-2025 - 11-30-2025)</t>
  </si>
  <si>
    <t>B20459030</t>
  </si>
  <si>
    <t>PO4500001368
Ubiquiti UniFi E7 - wireless access point - Wi-Fi 7
Hardware Hardware</t>
  </si>
  <si>
    <t>TEN00002</t>
  </si>
  <si>
    <t>Monthly Professional Services Fees</t>
  </si>
  <si>
    <t>Erik Goodman</t>
  </si>
  <si>
    <t>UKSI239338</t>
  </si>
  <si>
    <t>Select Technology (GBP/USD)</t>
  </si>
  <si>
    <t>MacBook Pro 16-inch, Apple M4 Pro Chip</t>
  </si>
  <si>
    <t>USPDS168628</t>
  </si>
  <si>
    <t>Project: Tenstorrent Fit Out Guest Street
August 2025 - October 2025 Project
Management Fee</t>
  </si>
  <si>
    <t>INV09830300</t>
  </si>
  <si>
    <t>Q10CTE - Service (11/05/2025-02/04/2026)</t>
  </si>
  <si>
    <t>10577</t>
  </si>
  <si>
    <t>Credo Semiconductor, Inc.</t>
  </si>
  <si>
    <t>Credo Se</t>
  </si>
  <si>
    <t>PO4500001348
G3 AEC, 400G, DD-
DD, 16P, 32AWG, 1M,
CMIS 4.0, Shippable</t>
  </si>
  <si>
    <t>Melissa Moralez</t>
  </si>
  <si>
    <t>Prepayment to Melissa Moralez</t>
  </si>
  <si>
    <t>FS COM (USD)</t>
  </si>
  <si>
    <t>FS COM (</t>
  </si>
  <si>
    <t>duplicate payment of invoice IN102508220575</t>
  </si>
  <si>
    <t>700391385</t>
  </si>
  <si>
    <t>EPAM System, Inc.</t>
  </si>
  <si>
    <t>EPAM Sys</t>
  </si>
  <si>
    <t>PO4500000317
AI Application and Computer Architecture Development (10/01/2025 - 10/30/2025)</t>
  </si>
  <si>
    <t>CLLIC251101</t>
  </si>
  <si>
    <t>License Fee pursuant to Corelab Master RISC-V Core IP License Agreement dated March 14, 2025
 - Milestone: Beta Milestone of Juniper</t>
  </si>
  <si>
    <t>USPDS169080</t>
  </si>
  <si>
    <t>4006494</t>
  </si>
  <si>
    <t>Approved by Alexander Munn
Legal Fees - Oct 2025</t>
  </si>
  <si>
    <t>3621</t>
  </si>
  <si>
    <t>Berliner Corcoran &amp; Rower LLP</t>
  </si>
  <si>
    <t>Berliner</t>
  </si>
  <si>
    <t>PO4500000428
Review and respond to question from A. Wall about acquisition of Sophgo server.
Approved by Andy Wall</t>
  </si>
  <si>
    <t>195625091 01</t>
  </si>
  <si>
    <t>251123W014980</t>
  </si>
  <si>
    <t>USPDS169306_1</t>
  </si>
  <si>
    <t>PO4500001379
October 2025 Project Management Fee</t>
  </si>
  <si>
    <t>2025-012</t>
  </si>
  <si>
    <t>Spacelike AI GmbH</t>
  </si>
  <si>
    <t>Spacelik</t>
  </si>
  <si>
    <t>PO4500000387
Friedrich Schöller - August &amp; September 2025</t>
  </si>
  <si>
    <t>195624799 01</t>
  </si>
  <si>
    <t>84569084</t>
  </si>
  <si>
    <t>Corporation Service Company (CSC)</t>
  </si>
  <si>
    <t>Corporat</t>
  </si>
  <si>
    <t>Statutory Representation</t>
  </si>
  <si>
    <t>MU-/25-26/SI/281</t>
  </si>
  <si>
    <t>MosChip Technologies, USA</t>
  </si>
  <si>
    <t xml:space="preserve">MosChip </t>
  </si>
  <si>
    <t>PO-4500001479
PD Services by 32 Engineers for September 2025
PD Services by 34 Engineers for October 2025
PD Services by 34 Engineers for November 2025</t>
  </si>
  <si>
    <t>Narmadha Parthasarathy</t>
  </si>
  <si>
    <t>2480</t>
  </si>
  <si>
    <t>5 Additional Common Room Seats
Service Terms: 11/4/25 - 1/16/26</t>
  </si>
  <si>
    <t>65692345</t>
  </si>
  <si>
    <t>Robert Half</t>
  </si>
  <si>
    <t>Robert H</t>
  </si>
  <si>
    <t>PO4500000374
Approved by Jessica Sharma
Robert Half - Gould,Heidi M W/E 12/05/2025</t>
  </si>
  <si>
    <t>LinkSquares</t>
  </si>
  <si>
    <t>LinkSqua</t>
  </si>
  <si>
    <t>duplicate payment of INV10719,INV9719</t>
  </si>
  <si>
    <t>USPDS169635</t>
  </si>
  <si>
    <t>20251130NavanUSD</t>
  </si>
  <si>
    <t>TripActions/ Navan</t>
  </si>
  <si>
    <t>TripActi</t>
  </si>
  <si>
    <t>See tab for "Navan Bill"</t>
  </si>
  <si>
    <t>B20483432</t>
  </si>
  <si>
    <t>PO4500001367
Ubiquiti UniFi E7 - wireless access point - Wi-Fi 7
Hardware Hardware
APC Smart-UPS SRT 5000VA RM 208V</t>
  </si>
  <si>
    <t>105338</t>
  </si>
  <si>
    <t>Sycomp</t>
  </si>
  <si>
    <t>PO4500001363
IBM Spectrum LSF RTM Data Collectors
Resource Value Unit Annual SW
Subscription &amp; Support Renewal 12 Months</t>
  </si>
  <si>
    <t>3609323</t>
  </si>
  <si>
    <t>Fidelity</t>
  </si>
  <si>
    <t>PO4500000650
Recordkeeping Fees (Billing Period 08/01/2025 - 10/31/2025)</t>
  </si>
  <si>
    <t>3540</t>
  </si>
  <si>
    <t>Alden Studios</t>
  </si>
  <si>
    <t>Alden St</t>
  </si>
  <si>
    <t>PO 4500000388
Project Tenstorrent.</t>
  </si>
  <si>
    <t>RE1530</t>
  </si>
  <si>
    <t>Consultant Fee</t>
  </si>
  <si>
    <t>1225-CN1</t>
  </si>
  <si>
    <t>Deposit invoice refund | Rey Chikata | ezx9ZEY9 | OY-Tens-ib0uGUJ2-0425-D-INV2</t>
  </si>
  <si>
    <t>195627118 01</t>
  </si>
  <si>
    <t>70520606</t>
  </si>
  <si>
    <t>PO4500000511
G997-0
Synopsys Cloud Credits</t>
  </si>
  <si>
    <t>794051</t>
  </si>
  <si>
    <t>794755</t>
  </si>
  <si>
    <t>Airbill No.: 794755
Shipment signed for by: "JONATHAN SAYER"</t>
  </si>
  <si>
    <t>797259</t>
  </si>
  <si>
    <t>797268</t>
  </si>
  <si>
    <t>798382</t>
  </si>
  <si>
    <t>Next Flight Out</t>
  </si>
  <si>
    <t>797683</t>
  </si>
  <si>
    <t>Airbill No.: 797683
Shipment signed for by: "JINJUN XIONG"</t>
  </si>
  <si>
    <t>IESI300205</t>
  </si>
  <si>
    <t>PO4500001527
MacBook Pro 16-inch, Apple M4 Pro Chip, 14C CPU,
20C GPU, 24GB UM, 512GB SSD - Space Black</t>
  </si>
  <si>
    <t>FTI Consulting</t>
  </si>
  <si>
    <t>FTI Cons</t>
  </si>
  <si>
    <t>Duplicate payment</t>
  </si>
  <si>
    <t>SIN069676</t>
  </si>
  <si>
    <t>PO4500001690
Tenstorrent - Global Implementation-Project</t>
  </si>
  <si>
    <t>SIN069675</t>
  </si>
  <si>
    <t>PO4500001690
Tenstorrent - Global Change Management-Project</t>
  </si>
  <si>
    <t>2503281</t>
  </si>
  <si>
    <t>PO4500001172
Public Affair Services - November 2025</t>
  </si>
  <si>
    <t>INV09852727</t>
  </si>
  <si>
    <t>Q10CTE - Service (11/17/2025-02/16/2026)</t>
  </si>
  <si>
    <t>4159</t>
  </si>
  <si>
    <t>PO4500000083
Consulting Services for Nov 20 - Dec 19, 2025</t>
  </si>
  <si>
    <t>SIN069115</t>
  </si>
  <si>
    <t>SIN069120</t>
  </si>
  <si>
    <t>0000255</t>
  </si>
  <si>
    <t>Ribbonfarm Consulting</t>
  </si>
  <si>
    <t>Ribbonfa</t>
  </si>
  <si>
    <t>PO4500000646 - Venkatesh Rao monthly consulting fees, November 2025
12 monthly installments for 2025</t>
  </si>
  <si>
    <t>Tara Rudolph</t>
  </si>
  <si>
    <t>195624777 01</t>
  </si>
  <si>
    <t>2503374</t>
  </si>
  <si>
    <t>Consultant hotel and consultant train</t>
  </si>
  <si>
    <t>636740</t>
  </si>
  <si>
    <t>Norris, Michelle
Approved by Alexander Munn</t>
  </si>
  <si>
    <t>IESI287543</t>
  </si>
  <si>
    <t>MacBook Pro 16-inch, Apple M4 Pro Chip, 14C CPU,
20C GPU, 24GB UM, 512GB SSD - Space Black</t>
  </si>
  <si>
    <t>IESI303948</t>
  </si>
  <si>
    <t>PO4500001637
MacBook Pro 16-inch, Apple M4 Pro Chip, 14C CPU,
20C GPU, 24GB UM, 512GB SSD - Space Black
Apple Device Enrolment Programme registration</t>
  </si>
  <si>
    <t>2399550181</t>
  </si>
  <si>
    <t>AWS Marketplace Charges (November 1 - November 30 , 2025)</t>
  </si>
  <si>
    <t>2466660</t>
  </si>
  <si>
    <t>10112955650</t>
  </si>
  <si>
    <t>LinkedIn</t>
  </si>
  <si>
    <t>Career Pages - Enterprise: Premium : 1 of 1
Job Slots : 1 of 1
Recruiter - Corporate : 1 of 1</t>
  </si>
  <si>
    <t>IESI285222</t>
  </si>
  <si>
    <t>208A071305</t>
  </si>
  <si>
    <t>PO4500001030
2024 Compliance Tax Services progress billing in connection with Engagement Letter dated August 25, 2025</t>
  </si>
  <si>
    <t>195626205 01</t>
  </si>
  <si>
    <t>Brokerage Fee, FTA Reporting</t>
  </si>
  <si>
    <t>B20522031</t>
  </si>
  <si>
    <t>PO4500001464
Pure Storage Austin Fileserver</t>
  </si>
  <si>
    <t>Priti Nagarajan</t>
  </si>
  <si>
    <t>CS25TTMK1121</t>
  </si>
  <si>
    <t>CoAsia Semi</t>
  </si>
  <si>
    <t>CoAsia S</t>
  </si>
  <si>
    <t>Project Code: Keuraunos -Mask Set Payment</t>
  </si>
  <si>
    <t>CS25TTMM1121</t>
  </si>
  <si>
    <t>Project Code: Mimir -Mask Set Payment</t>
  </si>
  <si>
    <t>65735768</t>
  </si>
  <si>
    <t>PO4500000374
Approved by Jessica Sharma
Robert Half - Gould,Heidi M W/E 12/19/2025</t>
  </si>
  <si>
    <t>SIN069752</t>
  </si>
  <si>
    <t>SIN069746</t>
  </si>
  <si>
    <t>INV330959478</t>
  </si>
  <si>
    <t>Zoom Communications, Inc.</t>
  </si>
  <si>
    <t>Zoom Com</t>
  </si>
  <si>
    <t>PO-30961
Zoom Subscription - Zoom Workplace Enterprise
Zoom Phone Monthly Usage - overage fee -- Overage</t>
  </si>
  <si>
    <t>195637764 01</t>
  </si>
  <si>
    <t>Kuehne+Nagel Inc.</t>
  </si>
  <si>
    <t>Kuehne+N</t>
  </si>
  <si>
    <t>195626836 01</t>
  </si>
  <si>
    <t>1000299</t>
  </si>
  <si>
    <t>The MISRA Consortium Limited</t>
  </si>
  <si>
    <t>The MISR</t>
  </si>
  <si>
    <t>PO-4500000895
Provision of a license to use MISRA C:2025 for up to 10 users
Provision of a license to use MISRA C++:2023 for up to 10 users</t>
  </si>
  <si>
    <t>GBP</t>
  </si>
  <si>
    <t>B20533041</t>
  </si>
  <si>
    <t>PO4500000934
Edge-Core DCS202 AS5835-54T - switch - 48 ports - managed - Hardware Hardware</t>
  </si>
  <si>
    <t>FC202511068</t>
  </si>
  <si>
    <t>Koyeb</t>
  </si>
  <si>
    <t>PO4500000437
Tenstorrent Goes Serverless - Dedicated Lab - W-Instances</t>
  </si>
  <si>
    <t>SIN069241</t>
  </si>
  <si>
    <t>SIN069242</t>
  </si>
  <si>
    <t>25182191</t>
  </si>
  <si>
    <t>PitchBook Platform
01-Oct-25 to 31-Dec-25
Customer PO Number: 4500001423</t>
  </si>
  <si>
    <t>67253</t>
  </si>
  <si>
    <t>PO4500001189
Professional Services from September 29, 2025 to October 26, 2025</t>
  </si>
  <si>
    <t>B20535208</t>
  </si>
  <si>
    <t>PO4500001367
SWITCHED PRO1, PIPS (PER INPUT POWER SENSING), 0U, 16 X IEC</t>
  </si>
  <si>
    <t>2025-3625</t>
  </si>
  <si>
    <t>PO4500000508
PERM Withdraw for ASHWATHA NARAYANA, Mohit</t>
  </si>
  <si>
    <t>2025-3626</t>
  </si>
  <si>
    <t>PO4500000508
Labor Certification PERM for DEVASTHALE, Dhruva Dilip
PERM Recruitment Services</t>
  </si>
  <si>
    <t>2025-3627</t>
  </si>
  <si>
    <t>PO4500000508
Labor Certification PERM for WU, Shixin
PERM Recruitment Services</t>
  </si>
  <si>
    <t>2025-3628</t>
  </si>
  <si>
    <t>PO4500000508
Labor Certification PERM for KHATRI, Sapna Fun Bahadur
PERM Recruitment Services</t>
  </si>
  <si>
    <t>2025-3629</t>
  </si>
  <si>
    <t>PO4500000508
PWR Request Based on Alternative Wage Survey for CHOKSHI, Zenithbhai Nileshbhai</t>
  </si>
  <si>
    <t>2025-3630</t>
  </si>
  <si>
    <t>PO4500000508
PWR Request Based on Alternative Wage Survey for PATEL, Hrishikesh Jigish</t>
  </si>
  <si>
    <t>2025-3659</t>
  </si>
  <si>
    <t>PO4500000508
Prevailing Wage RFI Response for SUN, Mengyu</t>
  </si>
  <si>
    <t>2025-3660</t>
  </si>
  <si>
    <t>PO4500000508
PWR Request Based on Alternative Wage Survey for NADKARNI, Siddhant Sripad</t>
  </si>
  <si>
    <t>2025-3661</t>
  </si>
  <si>
    <t>PO4500000508
PERM advertisement for LIU, Zimeng - The Mercury News
PERM advertisement - SVBJ</t>
  </si>
  <si>
    <t>2025-3662</t>
  </si>
  <si>
    <t>PO4500000508
Prevailing Wage RFI Response for VAISHNAV, Loma</t>
  </si>
  <si>
    <t>2025-3759</t>
  </si>
  <si>
    <t>PO4500000508
J-1 (DS-2019 Facilitation) Petition for Ottaviano, Alessandro
CIEE (J-1 sponsoring company)</t>
  </si>
  <si>
    <t>2025-3760</t>
  </si>
  <si>
    <t>PO4500000508
L-1 Individual Petition for TRAJKOVIC, Milos
Expedite Processing Attorney Fee
International Fed Ex Delivery</t>
  </si>
  <si>
    <t>2025-3761</t>
  </si>
  <si>
    <t>PO4500000508
Certificate of Eligibility - Outbound Vendor Visa Services - AMI, Chayun</t>
  </si>
  <si>
    <t>2025-3762</t>
  </si>
  <si>
    <t>PO4500000508
Certificate of Eligibility - Outbound Vendor Visa Services - PANG JIA JUN VERNON</t>
  </si>
  <si>
    <t>2004</t>
  </si>
  <si>
    <t>PO- 4500001488
Salesforce Support Hours (June - October 2025)</t>
  </si>
  <si>
    <t>2503481</t>
  </si>
  <si>
    <t>Public Affairs Services</t>
  </si>
  <si>
    <t>MU-/25-26/SI/316</t>
  </si>
  <si>
    <t>PO-4500001479
PD Services by 34 Engineers for December 2025
PD Services by 4 Engineers start date - Dec 1st, 2025</t>
  </si>
  <si>
    <t>TV38828653</t>
  </si>
  <si>
    <t>PO4500001374
Dell Precision 5690</t>
  </si>
  <si>
    <t>2503487</t>
  </si>
  <si>
    <t>Consultant Train Tickets</t>
  </si>
  <si>
    <t>IN102511270138</t>
  </si>
  <si>
    <t>PO4500001444
S5860-48XMG-8, Sales Tax</t>
  </si>
  <si>
    <t>Freddy Torres</t>
  </si>
  <si>
    <t>Pay Jan 12th</t>
  </si>
  <si>
    <t>IN102511270073</t>
  </si>
  <si>
    <t>PO4500001444
N8560-32C, Sales Tax</t>
  </si>
  <si>
    <t>108205346</t>
  </si>
  <si>
    <t>Highspring LLC</t>
  </si>
  <si>
    <t>Highspri</t>
  </si>
  <si>
    <t>PO4500000483
GL Accounting Consultant (Senior or Manager)-Regular</t>
  </si>
  <si>
    <t>1862</t>
  </si>
  <si>
    <t>PO4500001352
Remaining fees for recruiting advisory support @USD 10,600.00</t>
  </si>
  <si>
    <t>4051</t>
  </si>
  <si>
    <t>Job Mobz Incorporated</t>
  </si>
  <si>
    <t>Job Mobz</t>
  </si>
  <si>
    <t>PO-4500000681
Contract - Michael Rogenmoser</t>
  </si>
  <si>
    <t>4052</t>
  </si>
  <si>
    <t>PO-4500000808
Douglas Scott - November</t>
  </si>
  <si>
    <t>Robert Rainbolt</t>
  </si>
  <si>
    <t>4053</t>
  </si>
  <si>
    <t>PO-4500000565
Lindsay Lippa - November</t>
  </si>
  <si>
    <t>4054</t>
  </si>
  <si>
    <t>PO-4500000902
Shanthi Prasad - November</t>
  </si>
  <si>
    <t>4055</t>
  </si>
  <si>
    <t>PO-4500000632
Elena Kuslys - November</t>
  </si>
  <si>
    <t>4056</t>
  </si>
  <si>
    <t>PO-4500000569
Pocholo 'Pocco' Pasicolan - November</t>
  </si>
  <si>
    <t>4057</t>
  </si>
  <si>
    <t>PO-4500000570
Billing Department- Metal - PO</t>
  </si>
  <si>
    <t>4058</t>
  </si>
  <si>
    <t>PO-4500000643
Recruiters / Contract RC</t>
  </si>
  <si>
    <t>IESI289298</t>
  </si>
  <si>
    <t>MacBook Pro 16-inch, Apple M4 Pro Chip, 14C
CPU, 20C GPU, 24GB UM, 512GB SSD - Space Black</t>
  </si>
  <si>
    <t>2185991</t>
  </si>
  <si>
    <t>PO-4500000887
FOR PROFESSIONAL SERVICES RENDERED THROUGH 11/30/25</t>
  </si>
  <si>
    <t>HK2511-164</t>
  </si>
  <si>
    <t>PO-4500001042
US Finance Function Manpower Support - Finance
manpower support for the period 1 Nov - 30 Nov 2025</t>
  </si>
  <si>
    <t>INV04781</t>
  </si>
  <si>
    <t>PO4500001094
2025-08_4500001094_Emulation_DT through 30-Nov-2025</t>
  </si>
  <si>
    <t>M1701896-IN</t>
  </si>
  <si>
    <t>Able Building Maintenance</t>
  </si>
  <si>
    <t>Able Bui</t>
  </si>
  <si>
    <t>BILLING FOR THE MONTH OF AUGUST 2025</t>
  </si>
  <si>
    <t>M1701897-IN</t>
  </si>
  <si>
    <t>BILLING FOR THE MONTH OF SEPTEMBER 2025</t>
  </si>
  <si>
    <t>M1701898-IN</t>
  </si>
  <si>
    <t>BILLING FOR THE MONTH OF OCTOBER 2025</t>
  </si>
  <si>
    <t>M1701899-IN</t>
  </si>
  <si>
    <t>BILLING FOR THE MONTH OF NOVEMBER 2025</t>
  </si>
  <si>
    <t>62330</t>
  </si>
  <si>
    <t>Expeditors Tradewin, LLC</t>
  </si>
  <si>
    <t>Expedito</t>
  </si>
  <si>
    <t>PO 4500001109
Japan Services - Advisory Services for Security Export Control in Japan</t>
  </si>
  <si>
    <t>34909</t>
  </si>
  <si>
    <t>I/2025/11/17</t>
  </si>
  <si>
    <t>Antmicro AB</t>
  </si>
  <si>
    <t>Antmicro</t>
  </si>
  <si>
    <t>PO-31194
Consultancy services - Renode trace-based code coverage for ARC and RISCV</t>
  </si>
  <si>
    <t>045743</t>
  </si>
  <si>
    <t>PO 4500000450
OPs team for the month of Nov 25</t>
  </si>
  <si>
    <t>045745</t>
  </si>
  <si>
    <t>PO 4500000450
OPs Compiler (US engineer) for the month of Nov 25</t>
  </si>
  <si>
    <t>045747</t>
  </si>
  <si>
    <t>PO 4500000450
BUDA Compiler (SoW2 Batch4 - 2 engineers) for the month
of Nov 25</t>
  </si>
  <si>
    <t>045746</t>
  </si>
  <si>
    <t>PO 4500000450
BUDA Compiler (SoW2 Batch3 - 2 engineers) for the month
of Nov 25</t>
  </si>
  <si>
    <t>045744</t>
  </si>
  <si>
    <t>PO 4500000450
BUDA Compiler (SoW2 Batch2 - 3 engineers) for the month
of Nov 25</t>
  </si>
  <si>
    <t>045750</t>
  </si>
  <si>
    <t>PO 4500000450
BUDA Compiler (SoW2 Batch1 : 3 engineers) for the month
of Nov 25</t>
  </si>
  <si>
    <t>G4251324</t>
  </si>
  <si>
    <t>700395339</t>
  </si>
  <si>
    <t>PO4500000317
AI Application and Computer Architecture Development (11/01/2025 - 11/30/2025)</t>
  </si>
  <si>
    <t>USPDS171085</t>
  </si>
  <si>
    <t>PO4500001487 
Recoverable Expenses</t>
  </si>
  <si>
    <t>INV-0003044</t>
  </si>
  <si>
    <t>November 30, 2025 Recruiting &amp; Sourcing</t>
  </si>
  <si>
    <t>TT067</t>
  </si>
  <si>
    <t>Y3K Studio</t>
  </si>
  <si>
    <t>Y3K Stud</t>
  </si>
  <si>
    <t>PO 4500000627
Month 64 Strategic Retainer</t>
  </si>
  <si>
    <t>Sarah Prawl Grace</t>
  </si>
  <si>
    <t>2025-2029</t>
  </si>
  <si>
    <t>Zayo Group, LLC</t>
  </si>
  <si>
    <t>Zayo Gro</t>
  </si>
  <si>
    <t>To offset prepayment to Zayo Group, LLC</t>
  </si>
  <si>
    <t>2025-2030</t>
  </si>
  <si>
    <t>Nomadas</t>
  </si>
  <si>
    <t>To offset prepayment to Nomadas</t>
  </si>
  <si>
    <t>35182</t>
  </si>
  <si>
    <t>989547456 01</t>
  </si>
  <si>
    <t>0000804123</t>
  </si>
  <si>
    <t>Rent from 12/01/2025 to 12/07/2025 for 7 day(s) @ 165.00 per day 
Monthly Parking from 12/01/2025 to 12/07/2025 for 7 day(s) @ 3.33 per day</t>
  </si>
  <si>
    <t>VL/25-26/223</t>
  </si>
  <si>
    <t>FC202512069</t>
  </si>
  <si>
    <t>PO4500000574
Tenstorrent x Koyeb Partnership - 25-06 Deployment</t>
  </si>
  <si>
    <t>TEN00003</t>
  </si>
  <si>
    <t>INV69415</t>
  </si>
  <si>
    <t>RISC-V International</t>
  </si>
  <si>
    <t>RISC-V I</t>
  </si>
  <si>
    <t>RISC-V International Strategic Membership with 500 – 4999 employees</t>
  </si>
  <si>
    <t>1402</t>
  </si>
  <si>
    <t>Pace Staffing Solutions</t>
  </si>
  <si>
    <t>Pace Sta</t>
  </si>
  <si>
    <t>Invoice for Mohammed Ishaq</t>
  </si>
  <si>
    <t>852932679</t>
  </si>
  <si>
    <t>PO 4500001399
ONLINE/SOFTWARE SUBSCRIPTION CHARGES</t>
  </si>
  <si>
    <t>2408855437</t>
  </si>
  <si>
    <t>PO4500000774
AWS Marketplace Charges (November 1 - November 30 , 2025)</t>
  </si>
  <si>
    <t>2408869285</t>
  </si>
  <si>
    <t>79669530</t>
  </si>
  <si>
    <t>PO4500000400
FINANCIAL CRIME SEARCH (Dec 01, 2025 - Dec 31, 2025)</t>
  </si>
  <si>
    <t>SIN069358</t>
  </si>
  <si>
    <t>2335443</t>
  </si>
  <si>
    <t>PO 4500001234
Matter No. 0001 - General Real Estate</t>
  </si>
  <si>
    <t>2025-3941</t>
  </si>
  <si>
    <t>PO4500000508
H-1B Attorney Fee with Individual LCA for SRIDHAR, Sumanth
I-129 USCIS Filing Fee 
USCIS Asylum Program Fee 
Fraud Prevention/Detection Filing Fee 
Premium Processing USCIS Filing Fee 
Premium Processing Attorney Fee 
Request For Extension Based on AC-21
Fed Ex Courier Fee</t>
  </si>
  <si>
    <t>2025-3943</t>
  </si>
  <si>
    <t>PO4500000508
H-1B Attorney Fee with Individual LCA for NATARAJ, Mohit  
I-129 USCIS Filing Fee  
USCIS Asylum Program Fee  
Fraud Prevention/Detection Filing Fee  
Premium Processing USCIS Filing Fee Premium Processing Attorney Fee
Request For Extension Based on AC-21
Fed Ex Courier Fee</t>
  </si>
  <si>
    <t>2025-3944</t>
  </si>
  <si>
    <t>PO4500000508
H-1B Attorney Fee with Individual LCA for PULIVENDAL, Karthik 
I-129 USCIS Filing Fee 
USCIS Asylum Program Fee 
Fraud Prevention/Detection Filing Fee 
H-4 Attorney Fee for Derivative 
I-539 USCIS Filing Fee 
Premium Processing USCIS Filing Fee  
Premium Processing Attorney Fee  
Request For Extension Based on AC-21 
Fed Ex Courier Fee</t>
  </si>
  <si>
    <t>2025-3946</t>
  </si>
  <si>
    <t>PO4500000508
H-1B Attorney Fee with Individual LCA for DEB, Payal
I-129 USCIS Filing Fee  
USCIS Asylum Program Fee  
Fraud Prevention/Detection Filing Fee  
Premium Processing USCIS Filing Fee Premium Processing Attorney Fee
Request For Extension Based on AC-21
Fed Ex Courier Fee</t>
  </si>
  <si>
    <t>INV2899269</t>
  </si>
  <si>
    <t>PO4500000561 
Navan Travel &amp; Expense
Users (11/1/2025 - 3/31/2026)</t>
  </si>
  <si>
    <t>INV110182563</t>
  </si>
  <si>
    <t>PO4500000750
GitHub Advanced Security Usage
Nov 01, 2025 - Nov 30, 2025</t>
  </si>
  <si>
    <t>30</t>
  </si>
  <si>
    <t>PO4500000269
Melissa Moralez_3 Dec - 17 Dec 2025</t>
  </si>
  <si>
    <t>25182632</t>
  </si>
  <si>
    <t>01-Jan-26 to 31-Mar-26
 PO 4500001423</t>
  </si>
  <si>
    <t>S2023728-0126</t>
  </si>
  <si>
    <t>PO4500000830
TSR-WO - 130471686-13</t>
  </si>
  <si>
    <t>20251023-001</t>
  </si>
  <si>
    <t>WaveFive Inc. (Vendor)</t>
  </si>
  <si>
    <t>PO4500001351
Co-Marketing Fund for one year (Annual promotional package with Electronics Newspaper, Korea's premier tech
publication) (Oct. 1st 2025 - Sep. 30th 2026)_Oct'25</t>
  </si>
  <si>
    <t>195628006 01</t>
  </si>
  <si>
    <t>202600000427</t>
  </si>
  <si>
    <t>WeWork Poland (PLN)</t>
  </si>
  <si>
    <t>WeWork P</t>
  </si>
  <si>
    <t>PO-4500000393
Membership fee for office 02-102, black and white print exceedance and color prints exceeded</t>
  </si>
  <si>
    <t>PLN</t>
  </si>
  <si>
    <t>MC33809099</t>
  </si>
  <si>
    <t>Apple Inc</t>
  </si>
  <si>
    <t>Apple In</t>
  </si>
  <si>
    <t>PO4500001429
MBP 16 SB/14C/20C GPU/24GB/512G-USA</t>
  </si>
  <si>
    <t>108207884</t>
  </si>
  <si>
    <t>B20569229</t>
  </si>
  <si>
    <t>PO4500001545
Fortinet FortiGate 1000F - security appliance -
with 1 year</t>
  </si>
  <si>
    <t>3835</t>
  </si>
  <si>
    <t>PO4500000428
Export Controls and Sanctions Advice
Approved by Andy Wall</t>
  </si>
  <si>
    <t>65779015</t>
  </si>
  <si>
    <t>PO4500000374
Approved by Jessica Sharma
Robert Half - Gould,Heidi M W/E 01/02/2026</t>
  </si>
  <si>
    <t>SIN069949</t>
  </si>
  <si>
    <t>SIN069827</t>
  </si>
  <si>
    <t>195633637 01</t>
  </si>
  <si>
    <t>Brokerage Fee, FTA reporting</t>
  </si>
  <si>
    <t>USPDS171638</t>
  </si>
  <si>
    <t>PO4500001487 
November 2025 Project Management Fee</t>
  </si>
  <si>
    <t>USPDS172051</t>
  </si>
  <si>
    <t>PO4500001206 
November 2025 Project Management Fee</t>
  </si>
  <si>
    <t>USPDS172040</t>
  </si>
  <si>
    <t>PO 4500001206
November 2025 Project Management Fee</t>
  </si>
  <si>
    <t>SIN069451</t>
  </si>
  <si>
    <t>SIN069450</t>
  </si>
  <si>
    <t>TENINC-25-26-02</t>
  </si>
  <si>
    <t>PO 4500001413
Milestone Payment #1 Completion and Acceptance of Milestones for 3 out of
7 models and Milestone Payment #2 Completion and Acceptance of Milestones other 4 out of 7</t>
  </si>
  <si>
    <t>195630631 01</t>
  </si>
  <si>
    <t>87504</t>
  </si>
  <si>
    <t>PO4500001640-DEPOSIT FOR OFFICE FURNITURE</t>
  </si>
  <si>
    <t>119662</t>
  </si>
  <si>
    <t>PO-4500001494
WORKSTATIONS, WORKSTATION SEATING, FREIGHT, DESIGN and PM</t>
  </si>
  <si>
    <t>195631340 01</t>
  </si>
  <si>
    <t>5/11/2025</t>
  </si>
  <si>
    <t>Lean d.o.o. Beograd</t>
  </si>
  <si>
    <t>Lean d.o</t>
  </si>
  <si>
    <t>PO4500001542
Staff Augmentation Services</t>
  </si>
  <si>
    <t>010</t>
  </si>
  <si>
    <t>Shokiah Williams</t>
  </si>
  <si>
    <t>PO4500000939
Equity Lead Contractor (Dec 2025 &amp; Jan 2026)</t>
  </si>
  <si>
    <t>108/00</t>
  </si>
  <si>
    <t>Resiltech</t>
  </si>
  <si>
    <t>Resiltec</t>
  </si>
  <si>
    <t>PO-4500001405
Line 10 - Milestone M1a: Dev Delivery.</t>
  </si>
  <si>
    <t>195630576 01</t>
  </si>
  <si>
    <t>Brokerage Fee, Additional Invoice Fee, Additional Classifications, FTA REPORTING</t>
  </si>
  <si>
    <t>PO 4500001379
November 2025 Project Management Fee</t>
  </si>
  <si>
    <t>11041</t>
  </si>
  <si>
    <t>PO4500000952
Consulting Fees for the month of November, 2025
Managed by:
Syed Gilani &lt;sgilani@tenstorrent.com&gt;
Contractor: Steve Novak</t>
  </si>
  <si>
    <t>11040</t>
  </si>
  <si>
    <t>PO4500000842
Consulting Fees for the month of November, 2025
Managed by:
Sachin Badole &lt;sbadole@tenstorrent.com&gt;
Contractor: Joseph Prabhu</t>
  </si>
  <si>
    <t>Sachin Badole</t>
  </si>
  <si>
    <t>11042</t>
  </si>
  <si>
    <t>PO4500001298
Consulting Fees for the month of November, 2025
Managed by:
Kiran Maturu &lt;kmaturu@tenstorrent.com&gt;
Contractor: David Ross</t>
  </si>
  <si>
    <t>11043</t>
  </si>
  <si>
    <t>PO4500001337
Consulting Fees for the month of November, 2025
Managed by:
Armond Paiva&lt;apaiva@tenstorrent.com&gt;
Contractor: Gerrit Barnard</t>
  </si>
  <si>
    <t>Armond Paiva</t>
  </si>
  <si>
    <t>MC36064887</t>
  </si>
  <si>
    <t>PO4500001553
EXPEDITED SHIPPING CHARGE</t>
  </si>
  <si>
    <t>20251231NavanUSD</t>
  </si>
  <si>
    <t>INV-5881</t>
  </si>
  <si>
    <t>Cultural Vistas</t>
  </si>
  <si>
    <t>PO 4500000816Student 6-12 Months-5 Day Expedited Fee-IMG Insurance - Enhanced-SEVIS I-901 Fee</t>
  </si>
  <si>
    <t>INV260001</t>
  </si>
  <si>
    <t>FADIA KOUZY</t>
  </si>
  <si>
    <t>PO-4500001323
Consulting Services for December 2025</t>
  </si>
  <si>
    <t>3562</t>
  </si>
  <si>
    <t>PO 4500000388
Project Tenstorrent (12/13/2025 - 01/13/2026)</t>
  </si>
  <si>
    <t>IESI300191</t>
  </si>
  <si>
    <t>M1702945-IN</t>
  </si>
  <si>
    <t>4500001540
BILLING FOR THE MONTH OF DECEMBER 2025</t>
  </si>
  <si>
    <t>CLASIC251201</t>
  </si>
  <si>
    <t>Tech Service Fee pursuant to Master Service Agreement dated June 14, 2025 and the Statement of Work (SOW) #2 dated October 27, 2025
- Milestone: Initial verification</t>
  </si>
  <si>
    <t>31</t>
  </si>
  <si>
    <t xml:space="preserve">Melissa </t>
  </si>
  <si>
    <t>PO4500000269
Melissa Moralez_18 Dec - 31 Dec 2025</t>
  </si>
  <si>
    <t>Carmel smith</t>
  </si>
  <si>
    <t>2503797</t>
  </si>
  <si>
    <t>PO4500001172
Public Affairs Services December 2025</t>
  </si>
  <si>
    <t>2503770</t>
  </si>
  <si>
    <t>PO4500001172
Consultant travel</t>
  </si>
  <si>
    <t>MC37585310</t>
  </si>
  <si>
    <t>PO4500001553
MBP 16 SB/14C/20C GPU/24GB/512G-USA</t>
  </si>
  <si>
    <t>4026359</t>
  </si>
  <si>
    <t>Approved by Alexander Munn
PO4500000713
For professional services and disbursements through November 30, 2025</t>
  </si>
  <si>
    <t>195633023 01</t>
  </si>
  <si>
    <t>Brokerage Fee, FTA REPORTING</t>
  </si>
  <si>
    <t>MC37745819</t>
  </si>
  <si>
    <t>EXPEDITED SHIPPING CHARGE</t>
  </si>
  <si>
    <t>MC38117746</t>
  </si>
  <si>
    <t>PO4500001600
MBP 16 SB/14C/20C GPU/24GB/512G-USA</t>
  </si>
  <si>
    <t>084486</t>
  </si>
  <si>
    <t>Ashling Microsystems</t>
  </si>
  <si>
    <t>PO4500001075
MS2 (T0+10w): $40,000 for final release</t>
  </si>
  <si>
    <t>0000256</t>
  </si>
  <si>
    <t>PO4500000646 - Venkatesh Rao monthly consulting fees, December 2025
12 monthly installments for 2025</t>
  </si>
  <si>
    <t>3361</t>
  </si>
  <si>
    <t>PO-4500000892
Professional Services - Functional resource provided for
maintenance of Tenstorrent’s CLM application</t>
  </si>
  <si>
    <t>195636509 01</t>
  </si>
  <si>
    <t>TEN00004</t>
  </si>
  <si>
    <t>PO4500001322
Monthly Professional Services Fees
December 1, 2025 to December 22, 2025
SOW 01 - Go To Market Spain Strategic Planning</t>
  </si>
  <si>
    <t>Megan Dawdy</t>
  </si>
  <si>
    <t>INV145543</t>
  </si>
  <si>
    <t>Greenhouse Software, Inc.</t>
  </si>
  <si>
    <t>Greenhou</t>
  </si>
  <si>
    <t>PO4500001244Greenhouse Sourcing Automation - Unlimited, Greenhouse Recruiting - Advanced | GHRAD</t>
  </si>
  <si>
    <t>Scarlett Hartmann</t>
  </si>
  <si>
    <t>6272</t>
  </si>
  <si>
    <t>Correct Designs</t>
  </si>
  <si>
    <t xml:space="preserve">Correct </t>
  </si>
  <si>
    <t>PO4500001078
Rashmi Ghevariya - Week ending December 12, 2025</t>
  </si>
  <si>
    <t>5014</t>
  </si>
  <si>
    <t>PO-4500000565
Lindsay Lippa - December</t>
  </si>
  <si>
    <t>67383</t>
  </si>
  <si>
    <t>PO4500001189
Professional Services from October 27, 2025 to November 30, 2025</t>
  </si>
  <si>
    <t>HK2512-165</t>
  </si>
  <si>
    <t>PO-4500001042
US Finance Function Manpower Support - Finance
manpower support for the period 1 Dec - 31 Dec 2025</t>
  </si>
  <si>
    <t>62771</t>
  </si>
  <si>
    <t>PO 4500001109
HKG Services - Risk Profile – Import and Export Strategic
Commodities (HK)</t>
  </si>
  <si>
    <t>63080</t>
  </si>
  <si>
    <t>PO 4500001109
Provide China ECCN Advisory for Tenstorrent in December
2025</t>
  </si>
  <si>
    <t>62738</t>
  </si>
  <si>
    <t>PO 4500001109
Japan Services - Advisory Services for Security Export Control
in Japan</t>
  </si>
  <si>
    <t>6271</t>
  </si>
  <si>
    <t>PO4500001078
Greg Fife - Week ending December 05 &amp;12, 2025</t>
  </si>
  <si>
    <t>2025-3872</t>
  </si>
  <si>
    <t>PO4500000508
PWR request based on alternative wage survey (i.e. Radford) for MAHECHA, Satyaveersingh</t>
  </si>
  <si>
    <t>2025-3873</t>
  </si>
  <si>
    <t>PO4500000508
PERM withdraw for TANG, Weijing</t>
  </si>
  <si>
    <t>2025-3874</t>
  </si>
  <si>
    <t>PO4500000508
Prevailing Wage RFI Response for YU, Suofei</t>
  </si>
  <si>
    <t>2025-3875</t>
  </si>
  <si>
    <t>PO4500000508
Labor Certification PERM for MANIKANDAN, Vivek
PERM Recruitment Services</t>
  </si>
  <si>
    <t>2025-3876</t>
  </si>
  <si>
    <t>PO4500000508
PWR request based on alternative wage survey (i.e. Radford) for RAKHEJA, Viplove</t>
  </si>
  <si>
    <t>2025-3877</t>
  </si>
  <si>
    <t>PO4500000508
PERM advertisement for VAISHNAV, Loma - SF Chronicle
PERM advertisement - SVBJ</t>
  </si>
  <si>
    <t>2025-3878</t>
  </si>
  <si>
    <t>PO4500000508
Prevailing Wage RFI Response for SAMPATHKUMAR, Aravind</t>
  </si>
  <si>
    <t>2025-3879</t>
  </si>
  <si>
    <t>PO4500000508
PERM advertisement for SUN, Mengyu - SF Chronicle
PERM advertisement - SVBJ</t>
  </si>
  <si>
    <t>2025-3880</t>
  </si>
  <si>
    <t>PO4500000508
PERM advertisement for SAMPATHKUMAR, Aravind - SF Chronicle
PERM advertisement - SVBJ</t>
  </si>
  <si>
    <t>2025-3940</t>
  </si>
  <si>
    <t>PO4500000508
H-1B withdraw for GOKHALE, Indraneil Milind
Fed Ex Courier Fee</t>
  </si>
  <si>
    <t>2025-3942</t>
  </si>
  <si>
    <t>PO4500000508
O-1 Petition for COSTA, Mackenzie 
I-129 USCIS Filing Fee 
USCIS Asylum Program Fee 
Premium Processing USCIS Filing Fee 
Premium Processing Attorney Fee 
Fed Ex Courier Fee</t>
  </si>
  <si>
    <t>2025-3945</t>
  </si>
  <si>
    <t>PO4500000508
Second Certificate of Eligibility - Outbound Vendor Visa Services - GABRIEL JEIYO MANGALINO</t>
  </si>
  <si>
    <t>2025-3947</t>
  </si>
  <si>
    <t>PO4500000508
H-1B withdraw for JHA, Kalpit
Fed Ex Courier Fee</t>
  </si>
  <si>
    <t>2025-3948</t>
  </si>
  <si>
    <t>PO4500000508
TN Application for ZHAO, Tian Bo
Courtesy Discount 
I-129 USCIS Filing Fee 
USCIS Asylum Program Fee 
Fed Ex Courier Fee</t>
  </si>
  <si>
    <t>2025-3949</t>
  </si>
  <si>
    <t>PO4500000508
Prevailing Wage RFI Response for SRINIVASAN, Anirudh</t>
  </si>
  <si>
    <t>045807</t>
  </si>
  <si>
    <t>PO 4500000450
OPs Compiler (US engineer) for the month of Dec 25</t>
  </si>
  <si>
    <t>2025-3950</t>
  </si>
  <si>
    <t>PO4500000508
Prevailing Wage RFI Response for JOAQUIN, Nicholas</t>
  </si>
  <si>
    <t>045809</t>
  </si>
  <si>
    <t>PO 4500000450
OPs team for the month of Dec 25</t>
  </si>
  <si>
    <t>045813</t>
  </si>
  <si>
    <t>PO 4500000450
BUDA Compiler (SoW2 Batch4 - 2 engineers) for the month
of Dec 25</t>
  </si>
  <si>
    <t>045812</t>
  </si>
  <si>
    <t>PO 4500000450
BUDA Compiler (SoW2 Batch1 : 3 engineers) for the month
of Dec 25</t>
  </si>
  <si>
    <t>045808</t>
  </si>
  <si>
    <t>PO 4500000450
BUDA Compiler (SoW2 Batch3 - 2 engineers) for the month
of Dec 25</t>
  </si>
  <si>
    <t>045806</t>
  </si>
  <si>
    <t>PO 4500000450
BUDA Compiler (SoW2 Batch2 - 3 engineers) for the month
of Dec 25</t>
  </si>
  <si>
    <t>5012</t>
  </si>
  <si>
    <t>5016</t>
  </si>
  <si>
    <t>PO-4500000902
Shanthi Prasad - December</t>
  </si>
  <si>
    <t>5017</t>
  </si>
  <si>
    <t>PO-4500000632
Elena Kuslys - December</t>
  </si>
  <si>
    <t>5018</t>
  </si>
  <si>
    <t>PO-4500000569
Pocholo 'Pocco' Pasicolan - December</t>
  </si>
  <si>
    <t>5019</t>
  </si>
  <si>
    <t>PO-4500000570
Anna Valevko - December</t>
  </si>
  <si>
    <t>5020</t>
  </si>
  <si>
    <t>PO-4500000634
Joseph Stone - December</t>
  </si>
  <si>
    <t>5021</t>
  </si>
  <si>
    <t>TT068</t>
  </si>
  <si>
    <t>PO 4500000627
Month 64 Travel, Month 64 Marketing, Month 65 Strategic Retainer</t>
  </si>
  <si>
    <t>2026010050952</t>
  </si>
  <si>
    <t>PO4500000858
Telecommunications Service</t>
  </si>
  <si>
    <t>INV-USA-000028</t>
  </si>
  <si>
    <t>PO-4500001516
Professional Services - Consulting, Project Management Services, Travel</t>
  </si>
  <si>
    <t>125/00</t>
  </si>
  <si>
    <t>PO-4500001405
Line 20 Milestone M1b: Alpha Delivery.
Secondi Invoice</t>
  </si>
  <si>
    <t>INV04796</t>
  </si>
  <si>
    <t>PO4500001094
2025-08_4500001094_Emulation_DT through 31-Dec-2025</t>
  </si>
  <si>
    <t>GUSTAVO_20260105</t>
  </si>
  <si>
    <t>Gustavo Sarabando</t>
  </si>
  <si>
    <t xml:space="preserve">Gustavo </t>
  </si>
  <si>
    <t>PO4500000616 - Gustavo - PO for Development Services</t>
  </si>
  <si>
    <t>10342</t>
  </si>
  <si>
    <t>PO4500000636
Approved by Alexander Munn, Commercial Contracts Matters (12-09-2025 - 12-11-2025)</t>
  </si>
  <si>
    <t>11052</t>
  </si>
  <si>
    <t>PO4500000842
Consulting Fees for the month of December, 2025
Managed by:
Sachin Badole &lt;sbadole@tenstorrent.com&gt;
Contractor: Joseph Prabhu</t>
  </si>
  <si>
    <t>11053</t>
  </si>
  <si>
    <t>PO4500000952
Consulting Fees for the month of December, 2025
Managed by:
Syed Gilani &lt;sgilani@tenstorrent.com&gt;
Contractor: Steve Novak</t>
  </si>
  <si>
    <t>11054</t>
  </si>
  <si>
    <t>PO4500001337
Consulting Fees for the month of December, 2025
Managed by:
Armond Paiva&lt;apaiva@tenstorrent.com&gt;
Contractor: Gerrit Barnard</t>
  </si>
  <si>
    <t>084487</t>
  </si>
  <si>
    <t xml:space="preserve">Ashling </t>
  </si>
  <si>
    <t>PO31141
Engineering Service Agreement</t>
  </si>
  <si>
    <t>Eric Rentschler</t>
  </si>
  <si>
    <t>002205</t>
  </si>
  <si>
    <t>Daylight Law, P.C.</t>
  </si>
  <si>
    <t>PO-4500000399, Services rendered in Dec 2025.</t>
  </si>
  <si>
    <t>AH5YA2S</t>
  </si>
  <si>
    <t>PO4500001555
Lenovo ThinkPads</t>
  </si>
  <si>
    <t>6274</t>
  </si>
  <si>
    <t>PO4500001078
Rashmi Ghevariya - Week ending December 26, Jan 1 &amp; 9, 2025</t>
  </si>
  <si>
    <t>6275</t>
  </si>
  <si>
    <t>PO4500000700
Greg Fife - Week ending Jan 2 &amp; 9, 2025</t>
  </si>
  <si>
    <t>SIN070090</t>
  </si>
  <si>
    <t>02/11/2026</t>
  </si>
  <si>
    <t>TTH</t>
  </si>
  <si>
    <t>03/10/2025</t>
  </si>
  <si>
    <t>Arthur J. Gallagher Risk Management</t>
  </si>
  <si>
    <t>3013179</t>
  </si>
  <si>
    <t>Wilson Sonsini Goodrich &amp; Rosati Professional Corporation</t>
  </si>
  <si>
    <t>Wilson S</t>
  </si>
  <si>
    <t>U.S. Trademark Matters - Approved Alex Munn</t>
  </si>
  <si>
    <t>3014793</t>
  </si>
  <si>
    <t>20250930-69470-A</t>
  </si>
  <si>
    <t>J.P. Morgan Investment Management Inc.</t>
  </si>
  <si>
    <t>J.P. Mor</t>
  </si>
  <si>
    <t>Investment Management Fee - For Period Ending: 09/30/2025</t>
  </si>
  <si>
    <t>Kevin Liang</t>
  </si>
  <si>
    <t>5903023</t>
  </si>
  <si>
    <t>Ausit&amp;State Assessment</t>
  </si>
  <si>
    <t>3023270</t>
  </si>
  <si>
    <t>General Corporate Matters</t>
  </si>
  <si>
    <t>3028174</t>
  </si>
  <si>
    <t>U.S. Trademark Matters</t>
  </si>
  <si>
    <t>2025-1907</t>
  </si>
  <si>
    <t>MyHQ (EUR)</t>
  </si>
  <si>
    <t>Prepaid rent</t>
  </si>
  <si>
    <t>3037692</t>
  </si>
  <si>
    <t>3038880</t>
  </si>
  <si>
    <t>3039057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</si>
</sst>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scheme val="minor"/>
    </font>
    <font>
      <b/>
      <sz val="12"/>
      <color theme="1"/>
      <name val="游ゴシック"/>
      <family val="2"/>
      <scheme val="minor"/>
    </font>
    <font>
      <sz val="8"/>
      <color theme="1"/>
      <name val="Arial"/>
      <family val="2"/>
    </font>
    <font>
      <sz val="6"/>
      <name val="游ゴシック"/>
      <family val="3"/>
      <charset val="128"/>
      <scheme val="minor"/>
    </font>
    <font>
      <sz val="9"/>
      <color theme="1"/>
      <name val="Arial"/>
      <family val="2"/>
    </font>
    <font>
      <b/>
      <sz val="12"/>
      <color theme="1"/>
      <name val="游ゴシック"/>
      <family val="3"/>
      <charset val="128"/>
      <scheme val="minor"/>
    </font>
    <font>
      <b/>
      <sz val="12"/>
      <color rgb="FF00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3">
    <xf numFmtId="0" fontId="0" fillId="0" borderId="0" xfId="0"/>
    <xf numFmtId="0" fontId="2" fillId="0" borderId="0" xfId="0" applyFont="1"/>
    <xf numFmtId="4" fontId="2" fillId="0" borderId="0" xfId="0" applyNumberFormat="1" applyFont="1"/>
    <xf numFmtId="0" fontId="4" fillId="4" borderId="0" xfId="0" applyFont="1" applyFill="1" applyAlignment="1">
      <alignment vertical="center"/>
    </xf>
    <xf numFmtId="0" fontId="5" fillId="0" borderId="0" xfId="0" applyFont="1"/>
    <xf numFmtId="0" fontId="5" fillId="0" borderId="1" xfId="1" applyFont="1"/>
    <xf numFmtId="0" fontId="5" fillId="0" borderId="1" xfId="1" applyFont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0" fillId="5" borderId="0" xfId="0" applyFill="1"/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sheetPr filterMode="1"/>
  <dimension ref="A1:AD1497"/>
  <sheetViews>
    <sheetView tabSelected="1" zoomScale="90" zoomScaleNormal="90" workbookViewId="0">
      <selection activeCell="E1156" sqref="E1156"/>
    </sheetView>
  </sheetViews>
  <sheetFormatPr defaultColWidth="11.21875" defaultRowHeight="20.100000000000001"/>
  <cols>
    <col min="1" max="1" width="9.21875" bestFit="1" customWidth="1"/>
    <col min="2" max="2" width="9.21875" customWidth="1"/>
    <col min="3" max="4" width="18.6640625" customWidth="1"/>
    <col min="5" max="5" width="41" customWidth="1"/>
    <col min="6" max="6" width="41" hidden="1" customWidth="1"/>
    <col min="7" max="7" width="49.88671875" customWidth="1"/>
    <col min="8" max="8" width="9.21875" customWidth="1"/>
    <col min="9" max="9" width="7.44140625" customWidth="1"/>
    <col min="10" max="11" width="16.109375" customWidth="1"/>
    <col min="12" max="12" width="12.6640625" customWidth="1"/>
    <col min="13" max="13" width="17.88671875" customWidth="1"/>
    <col min="14" max="15" width="11.77734375" customWidth="1"/>
    <col min="16" max="18" width="0" hidden="1" customWidth="1"/>
    <col min="19" max="19" width="28.6640625" hidden="1" customWidth="1"/>
    <col min="21" max="21" width="17" hidden="1" customWidth="1"/>
    <col min="22" max="27" width="0" hidden="1" customWidth="1"/>
  </cols>
  <sheetData>
    <row r="1" spans="1:30" s="4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>
        <v>0.75</v>
      </c>
      <c r="Q1" s="7" t="s">
        <v>15</v>
      </c>
      <c r="R1" s="7" t="s">
        <v>16</v>
      </c>
      <c r="S1" s="7" t="s">
        <v>17</v>
      </c>
      <c r="T1" s="8" t="s">
        <v>18</v>
      </c>
      <c r="U1" s="9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8" t="s">
        <v>25</v>
      </c>
      <c r="AB1" s="8" t="s">
        <v>26</v>
      </c>
      <c r="AC1" s="8" t="s">
        <v>27</v>
      </c>
      <c r="AD1" s="11" t="s">
        <v>28</v>
      </c>
    </row>
    <row r="2" spans="1:30" hidden="1">
      <c r="A2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30</v>
      </c>
      <c r="I2" s="1">
        <v>638</v>
      </c>
      <c r="J2" s="2">
        <v>-10894.33</v>
      </c>
      <c r="K2" s="2">
        <v>-10894.33</v>
      </c>
      <c r="L2" s="2">
        <v>-10894.33</v>
      </c>
      <c r="M2" s="2">
        <v>-10894.33</v>
      </c>
      <c r="N2" s="1" t="s">
        <v>36</v>
      </c>
      <c r="O2" s="2">
        <v>1</v>
      </c>
      <c r="P2" s="3">
        <f>IF(N2="CAD",$P$1,1)*M2</f>
        <v>-8170.7474999999995</v>
      </c>
      <c r="Q2" s="3" t="str">
        <f>D2&amp;M2</f>
        <v>-10894.33</v>
      </c>
      <c r="R2" t="s">
        <v>37</v>
      </c>
      <c r="S2" t="s">
        <v>38</v>
      </c>
      <c r="AA2" t="s">
        <v>39</v>
      </c>
      <c r="AB2" t="s">
        <v>40</v>
      </c>
    </row>
    <row r="3" spans="1:30" hidden="1">
      <c r="A3" t="s">
        <v>29</v>
      </c>
      <c r="B3" s="1" t="s">
        <v>41</v>
      </c>
      <c r="C3" s="1" t="s">
        <v>42</v>
      </c>
      <c r="D3" s="1" t="s">
        <v>32</v>
      </c>
      <c r="E3" s="1" t="s">
        <v>43</v>
      </c>
      <c r="F3" s="1" t="s">
        <v>44</v>
      </c>
      <c r="G3" s="1" t="s">
        <v>32</v>
      </c>
      <c r="H3" s="1" t="s">
        <v>41</v>
      </c>
      <c r="I3" s="1">
        <v>432</v>
      </c>
      <c r="J3" s="2">
        <v>-3826.63</v>
      </c>
      <c r="K3" s="2">
        <v>-0.18113290000000001</v>
      </c>
      <c r="L3" s="2">
        <v>-2746.39</v>
      </c>
      <c r="M3" s="2">
        <v>-0.13</v>
      </c>
      <c r="N3" s="1" t="s">
        <v>45</v>
      </c>
      <c r="O3" s="2">
        <v>1.39333</v>
      </c>
      <c r="P3" s="3">
        <f t="shared" ref="P3:P64" si="0">IF(N3="CAD",$P$1,1)*M3</f>
        <v>-0.13</v>
      </c>
      <c r="Q3" s="3" t="str">
        <f t="shared" ref="Q3:Q64" si="1">D3&amp;M3</f>
        <v>-0.13</v>
      </c>
      <c r="AB3" t="s">
        <v>40</v>
      </c>
    </row>
    <row r="4" spans="1:30" hidden="1">
      <c r="A4" t="s">
        <v>29</v>
      </c>
      <c r="B4" s="1" t="s">
        <v>46</v>
      </c>
      <c r="C4" s="1" t="s">
        <v>31</v>
      </c>
      <c r="D4" s="1" t="s">
        <v>32</v>
      </c>
      <c r="E4" s="1" t="s">
        <v>47</v>
      </c>
      <c r="F4" s="1" t="s">
        <v>48</v>
      </c>
      <c r="G4" s="1" t="s">
        <v>49</v>
      </c>
      <c r="H4" s="1" t="s">
        <v>46</v>
      </c>
      <c r="I4" s="1">
        <v>372</v>
      </c>
      <c r="J4" s="2">
        <v>-190.87</v>
      </c>
      <c r="K4" s="2">
        <v>-190.86703349999999</v>
      </c>
      <c r="L4" s="2">
        <v>-133.25</v>
      </c>
      <c r="M4" s="2">
        <v>-133.25</v>
      </c>
      <c r="N4" s="1" t="s">
        <v>45</v>
      </c>
      <c r="O4" s="2">
        <v>1.4323980000000001</v>
      </c>
      <c r="P4" s="3">
        <f t="shared" si="0"/>
        <v>-133.25</v>
      </c>
      <c r="Q4" s="3" t="str">
        <f t="shared" si="1"/>
        <v>-133.25</v>
      </c>
      <c r="R4" t="s">
        <v>38</v>
      </c>
      <c r="S4" t="s">
        <v>38</v>
      </c>
      <c r="AA4" t="s">
        <v>39</v>
      </c>
      <c r="AB4" t="s">
        <v>40</v>
      </c>
    </row>
    <row r="5" spans="1:30" hidden="1">
      <c r="A5" t="s">
        <v>29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50</v>
      </c>
      <c r="I5" s="1">
        <v>246</v>
      </c>
      <c r="J5" s="2">
        <v>-36606.61</v>
      </c>
      <c r="K5" s="2">
        <v>-36606.607883919998</v>
      </c>
      <c r="L5" s="2">
        <v>-26213.26</v>
      </c>
      <c r="M5" s="2">
        <v>-26213.26</v>
      </c>
      <c r="N5" s="1" t="s">
        <v>45</v>
      </c>
      <c r="O5" s="2">
        <v>1.3964920000000001</v>
      </c>
      <c r="P5" s="3">
        <f t="shared" si="0"/>
        <v>-26213.26</v>
      </c>
      <c r="Q5" s="3" t="str">
        <f t="shared" si="1"/>
        <v>2025-1887-26213.26</v>
      </c>
      <c r="AB5" t="s">
        <v>40</v>
      </c>
    </row>
    <row r="6" spans="1:30" hidden="1">
      <c r="A6" t="s">
        <v>29</v>
      </c>
      <c r="B6" s="1" t="s">
        <v>56</v>
      </c>
      <c r="C6" s="1" t="s">
        <v>31</v>
      </c>
      <c r="D6" s="1" t="s">
        <v>32</v>
      </c>
      <c r="E6" s="1" t="s">
        <v>57</v>
      </c>
      <c r="F6" s="1" t="s">
        <v>58</v>
      </c>
      <c r="G6" s="1" t="s">
        <v>35</v>
      </c>
      <c r="H6" s="1" t="s">
        <v>56</v>
      </c>
      <c r="I6" s="1">
        <v>225</v>
      </c>
      <c r="J6" s="2">
        <v>-3071.77</v>
      </c>
      <c r="K6" s="2">
        <v>-3071.7713760000001</v>
      </c>
      <c r="L6" s="2">
        <v>-2238</v>
      </c>
      <c r="M6" s="2">
        <v>-2238</v>
      </c>
      <c r="N6" s="1" t="s">
        <v>45</v>
      </c>
      <c r="O6" s="2">
        <v>1.372552</v>
      </c>
      <c r="P6" s="3">
        <f t="shared" si="0"/>
        <v>-2238</v>
      </c>
      <c r="Q6" s="3" t="str">
        <f t="shared" si="1"/>
        <v>-2238</v>
      </c>
      <c r="R6" t="s">
        <v>59</v>
      </c>
      <c r="S6" t="s">
        <v>60</v>
      </c>
      <c r="AB6" t="s">
        <v>40</v>
      </c>
    </row>
    <row r="7" spans="1:30" hidden="1">
      <c r="A7" t="s">
        <v>29</v>
      </c>
      <c r="B7" s="1" t="s">
        <v>61</v>
      </c>
      <c r="C7" s="1" t="s">
        <v>31</v>
      </c>
      <c r="D7" s="1" t="s">
        <v>32</v>
      </c>
      <c r="E7" s="1" t="s">
        <v>62</v>
      </c>
      <c r="F7" s="1" t="s">
        <v>62</v>
      </c>
      <c r="G7" s="1" t="s">
        <v>63</v>
      </c>
      <c r="H7" s="1" t="s">
        <v>61</v>
      </c>
      <c r="I7" s="1">
        <v>223</v>
      </c>
      <c r="J7" s="2">
        <v>-96.99</v>
      </c>
      <c r="K7" s="2">
        <v>-96.99</v>
      </c>
      <c r="L7" s="2">
        <v>-96.99</v>
      </c>
      <c r="M7" s="2">
        <v>-96.99</v>
      </c>
      <c r="N7" s="1" t="s">
        <v>36</v>
      </c>
      <c r="O7" s="2">
        <v>1</v>
      </c>
      <c r="P7" s="3">
        <f t="shared" si="0"/>
        <v>-72.742499999999993</v>
      </c>
      <c r="Q7" s="3" t="str">
        <f t="shared" si="1"/>
        <v>-96.99</v>
      </c>
      <c r="AB7" t="s">
        <v>40</v>
      </c>
    </row>
    <row r="8" spans="1:30" hidden="1">
      <c r="A8" t="s">
        <v>29</v>
      </c>
      <c r="B8" s="1" t="s">
        <v>64</v>
      </c>
      <c r="C8" s="1" t="s">
        <v>31</v>
      </c>
      <c r="D8" s="1" t="s">
        <v>32</v>
      </c>
      <c r="E8" s="1" t="s">
        <v>65</v>
      </c>
      <c r="F8" s="1" t="s">
        <v>54</v>
      </c>
      <c r="G8" s="1" t="s">
        <v>66</v>
      </c>
      <c r="H8" s="1" t="s">
        <v>64</v>
      </c>
      <c r="I8" s="1">
        <v>211</v>
      </c>
      <c r="J8" s="2">
        <v>-30573.03</v>
      </c>
      <c r="K8" s="2">
        <v>-30573.03</v>
      </c>
      <c r="L8" s="2">
        <v>-30573.03</v>
      </c>
      <c r="M8" s="2">
        <v>-30573.03</v>
      </c>
      <c r="N8" s="1" t="s">
        <v>36</v>
      </c>
      <c r="O8" s="2">
        <v>1</v>
      </c>
      <c r="P8" s="3">
        <f t="shared" si="0"/>
        <v>-22929.772499999999</v>
      </c>
      <c r="Q8" s="3" t="str">
        <f t="shared" si="1"/>
        <v>-30573.03</v>
      </c>
      <c r="R8" t="s">
        <v>59</v>
      </c>
      <c r="S8" t="s">
        <v>60</v>
      </c>
      <c r="AA8" t="s">
        <v>67</v>
      </c>
      <c r="AB8" t="s">
        <v>40</v>
      </c>
    </row>
    <row r="9" spans="1:30" hidden="1">
      <c r="A9" t="s">
        <v>29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32</v>
      </c>
      <c r="H9" s="1" t="s">
        <v>73</v>
      </c>
      <c r="I9" s="1">
        <v>202</v>
      </c>
      <c r="J9" s="2">
        <v>1379929.48</v>
      </c>
      <c r="K9" s="2">
        <v>1379929.4775600459</v>
      </c>
      <c r="L9" s="2">
        <v>1006990.46</v>
      </c>
      <c r="M9" s="2">
        <v>1006990.46</v>
      </c>
      <c r="N9" s="1" t="s">
        <v>45</v>
      </c>
      <c r="O9" s="2">
        <v>1.3703501</v>
      </c>
      <c r="P9" s="3">
        <f t="shared" si="0"/>
        <v>1006990.46</v>
      </c>
      <c r="Q9" s="3" t="str">
        <f t="shared" si="1"/>
        <v>919088181006990.46</v>
      </c>
      <c r="R9" t="s">
        <v>74</v>
      </c>
      <c r="S9" t="s">
        <v>75</v>
      </c>
      <c r="AA9" t="s">
        <v>67</v>
      </c>
    </row>
    <row r="10" spans="1:30" hidden="1">
      <c r="A10" t="s">
        <v>29</v>
      </c>
      <c r="B10" s="1" t="s">
        <v>76</v>
      </c>
      <c r="C10" s="1" t="s">
        <v>69</v>
      </c>
      <c r="D10" s="1" t="s">
        <v>77</v>
      </c>
      <c r="E10" s="1" t="s">
        <v>78</v>
      </c>
      <c r="F10" s="1" t="s">
        <v>79</v>
      </c>
      <c r="G10" s="1" t="s">
        <v>80</v>
      </c>
      <c r="H10" s="1" t="s">
        <v>81</v>
      </c>
      <c r="I10" s="1">
        <v>196</v>
      </c>
      <c r="J10" s="2">
        <v>508.5</v>
      </c>
      <c r="K10" s="2">
        <v>508.5</v>
      </c>
      <c r="L10" s="2">
        <v>508.5</v>
      </c>
      <c r="M10" s="2">
        <v>508.5</v>
      </c>
      <c r="N10" s="1" t="s">
        <v>36</v>
      </c>
      <c r="O10" s="2">
        <v>1</v>
      </c>
      <c r="P10" s="3">
        <f t="shared" si="0"/>
        <v>381.375</v>
      </c>
      <c r="Q10" s="3" t="str">
        <f t="shared" si="1"/>
        <v>1342864508.5</v>
      </c>
      <c r="R10" t="s">
        <v>82</v>
      </c>
      <c r="S10" t="s">
        <v>60</v>
      </c>
      <c r="T10" t="s">
        <v>83</v>
      </c>
      <c r="AA10" t="s">
        <v>84</v>
      </c>
      <c r="AB10" t="s">
        <v>85</v>
      </c>
      <c r="AC10" t="s">
        <v>86</v>
      </c>
    </row>
    <row r="11" spans="1:30" hidden="1">
      <c r="A11" t="s">
        <v>29</v>
      </c>
      <c r="B11" s="1" t="s">
        <v>87</v>
      </c>
      <c r="C11" s="1" t="s">
        <v>31</v>
      </c>
      <c r="D11" s="1" t="s">
        <v>32</v>
      </c>
      <c r="E11" s="1" t="s">
        <v>88</v>
      </c>
      <c r="F11" s="1" t="s">
        <v>89</v>
      </c>
      <c r="G11" s="1" t="s">
        <v>90</v>
      </c>
      <c r="H11" s="1" t="s">
        <v>87</v>
      </c>
      <c r="I11" s="1">
        <v>183</v>
      </c>
      <c r="J11" s="2">
        <v>-18786.93</v>
      </c>
      <c r="K11" s="2">
        <v>-18786.933199999999</v>
      </c>
      <c r="L11" s="2">
        <v>-13720</v>
      </c>
      <c r="M11" s="2">
        <v>-13720</v>
      </c>
      <c r="N11" s="1" t="s">
        <v>45</v>
      </c>
      <c r="O11" s="2">
        <v>1.36931</v>
      </c>
      <c r="P11" s="3">
        <f t="shared" si="0"/>
        <v>-13720</v>
      </c>
      <c r="Q11" s="3" t="str">
        <f t="shared" si="1"/>
        <v>-13720</v>
      </c>
      <c r="R11" t="s">
        <v>91</v>
      </c>
      <c r="AB11" t="s">
        <v>40</v>
      </c>
    </row>
    <row r="12" spans="1:30" hidden="1">
      <c r="A12" t="s">
        <v>29</v>
      </c>
      <c r="B12" s="1" t="s">
        <v>92</v>
      </c>
      <c r="C12" s="1" t="s">
        <v>31</v>
      </c>
      <c r="D12" s="1" t="s">
        <v>32</v>
      </c>
      <c r="E12" s="1" t="s">
        <v>93</v>
      </c>
      <c r="F12" s="1" t="s">
        <v>94</v>
      </c>
      <c r="G12" s="1" t="s">
        <v>95</v>
      </c>
      <c r="H12" s="1" t="s">
        <v>92</v>
      </c>
      <c r="I12" s="1">
        <v>179</v>
      </c>
      <c r="J12" s="2">
        <v>-192379.04</v>
      </c>
      <c r="K12" s="2">
        <v>-192379.04</v>
      </c>
      <c r="L12" s="2">
        <v>-140000</v>
      </c>
      <c r="M12" s="2">
        <v>-140000</v>
      </c>
      <c r="N12" s="1" t="s">
        <v>45</v>
      </c>
      <c r="O12" s="2">
        <v>1.374136</v>
      </c>
      <c r="P12" s="3">
        <f t="shared" si="0"/>
        <v>-140000</v>
      </c>
      <c r="Q12" s="3" t="str">
        <f t="shared" si="1"/>
        <v>-140000</v>
      </c>
      <c r="R12" t="s">
        <v>91</v>
      </c>
      <c r="AB12" t="s">
        <v>40</v>
      </c>
    </row>
    <row r="13" spans="1:30" hidden="1">
      <c r="A13" t="s">
        <v>29</v>
      </c>
      <c r="B13" s="1" t="s">
        <v>96</v>
      </c>
      <c r="C13" s="1" t="s">
        <v>69</v>
      </c>
      <c r="D13" s="1" t="s">
        <v>97</v>
      </c>
      <c r="E13" s="1" t="s">
        <v>98</v>
      </c>
      <c r="F13" s="1" t="s">
        <v>99</v>
      </c>
      <c r="G13" s="1" t="s">
        <v>100</v>
      </c>
      <c r="H13" s="1" t="s">
        <v>101</v>
      </c>
      <c r="I13" s="1">
        <v>168</v>
      </c>
      <c r="J13" s="2">
        <v>232.91</v>
      </c>
      <c r="K13" s="2">
        <v>232.90865550000001</v>
      </c>
      <c r="L13" s="2">
        <v>165.73</v>
      </c>
      <c r="M13" s="2">
        <v>165.73</v>
      </c>
      <c r="N13" s="1" t="s">
        <v>45</v>
      </c>
      <c r="O13" s="2">
        <v>1.4053500000000001</v>
      </c>
      <c r="P13" s="3">
        <f t="shared" si="0"/>
        <v>165.73</v>
      </c>
      <c r="Q13" s="3" t="str">
        <f t="shared" si="1"/>
        <v>2507095TSN-S165.73</v>
      </c>
      <c r="R13" t="s">
        <v>74</v>
      </c>
      <c r="S13" t="s">
        <v>60</v>
      </c>
      <c r="T13" t="s">
        <v>102</v>
      </c>
    </row>
    <row r="14" spans="1:30" hidden="1">
      <c r="A14" t="s">
        <v>29</v>
      </c>
      <c r="B14" s="1" t="s">
        <v>103</v>
      </c>
      <c r="C14" s="1" t="s">
        <v>42</v>
      </c>
      <c r="D14" s="1" t="s">
        <v>32</v>
      </c>
      <c r="E14" s="1" t="s">
        <v>104</v>
      </c>
      <c r="F14" s="1" t="s">
        <v>105</v>
      </c>
      <c r="G14" s="1" t="s">
        <v>32</v>
      </c>
      <c r="H14" s="1" t="s">
        <v>103</v>
      </c>
      <c r="I14" s="1">
        <v>161</v>
      </c>
      <c r="J14" s="2">
        <v>-1272.6600000000001</v>
      </c>
      <c r="K14" s="2">
        <v>-1272.659998722</v>
      </c>
      <c r="L14" s="2">
        <v>-932.54</v>
      </c>
      <c r="M14" s="2">
        <v>-932.54</v>
      </c>
      <c r="N14" s="1" t="s">
        <v>45</v>
      </c>
      <c r="O14" s="2">
        <v>1.3647243</v>
      </c>
      <c r="P14" s="3">
        <f t="shared" si="0"/>
        <v>-932.54</v>
      </c>
      <c r="Q14" s="3" t="str">
        <f t="shared" si="1"/>
        <v>-932.54</v>
      </c>
      <c r="AB14" t="s">
        <v>40</v>
      </c>
    </row>
    <row r="15" spans="1:30" hidden="1">
      <c r="A15" t="s">
        <v>29</v>
      </c>
      <c r="B15" s="1" t="s">
        <v>106</v>
      </c>
      <c r="C15" s="1" t="s">
        <v>31</v>
      </c>
      <c r="D15" s="1" t="s">
        <v>32</v>
      </c>
      <c r="E15" s="1" t="s">
        <v>93</v>
      </c>
      <c r="F15" s="1" t="s">
        <v>94</v>
      </c>
      <c r="G15" s="1" t="s">
        <v>107</v>
      </c>
      <c r="H15" s="1" t="s">
        <v>106</v>
      </c>
      <c r="I15" s="1">
        <v>158</v>
      </c>
      <c r="J15" s="2">
        <v>-411567.14</v>
      </c>
      <c r="K15" s="2">
        <v>-411567.13728000002</v>
      </c>
      <c r="L15" s="2">
        <v>-299520</v>
      </c>
      <c r="M15" s="2">
        <v>-299520</v>
      </c>
      <c r="N15" s="1" t="s">
        <v>45</v>
      </c>
      <c r="O15" s="2">
        <v>1.3740889999999999</v>
      </c>
      <c r="P15" s="3">
        <f t="shared" si="0"/>
        <v>-299520</v>
      </c>
      <c r="Q15" s="3" t="str">
        <f t="shared" si="1"/>
        <v>-299520</v>
      </c>
      <c r="R15" t="s">
        <v>91</v>
      </c>
      <c r="AB15" t="s">
        <v>40</v>
      </c>
    </row>
    <row r="16" spans="1:30" hidden="1">
      <c r="A16" t="s">
        <v>29</v>
      </c>
      <c r="B16" s="1" t="s">
        <v>108</v>
      </c>
      <c r="C16" s="1" t="s">
        <v>69</v>
      </c>
      <c r="D16" s="1" t="s">
        <v>109</v>
      </c>
      <c r="E16" s="1" t="s">
        <v>71</v>
      </c>
      <c r="F16" s="1" t="s">
        <v>72</v>
      </c>
      <c r="G16" s="1" t="s">
        <v>32</v>
      </c>
      <c r="H16" s="1" t="s">
        <v>110</v>
      </c>
      <c r="I16" s="1">
        <v>157</v>
      </c>
      <c r="J16" s="2">
        <v>23107717.25</v>
      </c>
      <c r="K16" s="2">
        <v>23107717.253684301</v>
      </c>
      <c r="L16" s="2">
        <v>16878219.579999998</v>
      </c>
      <c r="M16" s="2">
        <v>16878219.579999998</v>
      </c>
      <c r="N16" s="1" t="s">
        <v>45</v>
      </c>
      <c r="O16" s="2">
        <v>1.3690850000000001</v>
      </c>
      <c r="P16" s="3">
        <f t="shared" si="0"/>
        <v>16878219.579999998</v>
      </c>
      <c r="Q16" s="3" t="str">
        <f t="shared" si="1"/>
        <v>9190894216878219.58</v>
      </c>
      <c r="R16" t="s">
        <v>74</v>
      </c>
      <c r="S16" t="s">
        <v>75</v>
      </c>
      <c r="AB16" t="s">
        <v>85</v>
      </c>
    </row>
    <row r="17" spans="1:29" hidden="1">
      <c r="A17" t="s">
        <v>29</v>
      </c>
      <c r="B17" s="1" t="s">
        <v>111</v>
      </c>
      <c r="C17" s="1" t="s">
        <v>51</v>
      </c>
      <c r="D17" s="1" t="s">
        <v>112</v>
      </c>
      <c r="E17" s="1" t="s">
        <v>113</v>
      </c>
      <c r="F17" s="1" t="s">
        <v>114</v>
      </c>
      <c r="G17" s="1" t="s">
        <v>115</v>
      </c>
      <c r="H17" s="1" t="s">
        <v>111</v>
      </c>
      <c r="I17" s="1">
        <v>154</v>
      </c>
      <c r="J17" s="2">
        <v>-74883.78</v>
      </c>
      <c r="K17" s="2">
        <v>-74883.781080000001</v>
      </c>
      <c r="L17" s="2">
        <v>-54360</v>
      </c>
      <c r="M17" s="2">
        <v>-54360</v>
      </c>
      <c r="N17" s="1" t="s">
        <v>45</v>
      </c>
      <c r="O17" s="2">
        <v>1.377553</v>
      </c>
      <c r="P17" s="3">
        <f t="shared" si="0"/>
        <v>-54360</v>
      </c>
      <c r="Q17" s="3" t="str">
        <f t="shared" si="1"/>
        <v>2025-3304-54360</v>
      </c>
      <c r="AB17" t="s">
        <v>40</v>
      </c>
    </row>
    <row r="18" spans="1:29" hidden="1">
      <c r="A18" t="s">
        <v>29</v>
      </c>
      <c r="B18" s="1" t="s">
        <v>116</v>
      </c>
      <c r="C18" s="1" t="s">
        <v>69</v>
      </c>
      <c r="D18" s="1" t="s">
        <v>117</v>
      </c>
      <c r="E18" s="1" t="s">
        <v>71</v>
      </c>
      <c r="F18" s="1" t="s">
        <v>72</v>
      </c>
      <c r="G18" s="1" t="s">
        <v>118</v>
      </c>
      <c r="H18" s="1" t="s">
        <v>119</v>
      </c>
      <c r="I18" s="1">
        <v>151</v>
      </c>
      <c r="J18" s="2">
        <v>1263910.4099999999</v>
      </c>
      <c r="K18" s="2">
        <v>1263910.4127436799</v>
      </c>
      <c r="L18" s="2">
        <v>921453.91</v>
      </c>
      <c r="M18" s="2">
        <v>921453.91</v>
      </c>
      <c r="N18" s="1" t="s">
        <v>45</v>
      </c>
      <c r="O18" s="2">
        <v>1.371648</v>
      </c>
      <c r="P18" s="3">
        <f t="shared" si="0"/>
        <v>921453.91</v>
      </c>
      <c r="Q18" s="3" t="str">
        <f t="shared" si="1"/>
        <v>91908951921453.91</v>
      </c>
      <c r="R18" t="s">
        <v>74</v>
      </c>
      <c r="S18" t="s">
        <v>60</v>
      </c>
      <c r="T18" t="s">
        <v>102</v>
      </c>
      <c r="AA18" t="s">
        <v>67</v>
      </c>
    </row>
    <row r="19" spans="1:29" hidden="1">
      <c r="A19" t="s">
        <v>29</v>
      </c>
      <c r="B19" s="1" t="s">
        <v>120</v>
      </c>
      <c r="C19" s="1" t="s">
        <v>69</v>
      </c>
      <c r="D19" s="1" t="s">
        <v>121</v>
      </c>
      <c r="E19" s="1" t="s">
        <v>122</v>
      </c>
      <c r="F19" s="1" t="s">
        <v>123</v>
      </c>
      <c r="G19" s="1" t="s">
        <v>124</v>
      </c>
      <c r="H19" s="1" t="s">
        <v>125</v>
      </c>
      <c r="I19" s="1">
        <v>139</v>
      </c>
      <c r="J19" s="2">
        <v>891101.36</v>
      </c>
      <c r="K19" s="2">
        <v>891101.36210000003</v>
      </c>
      <c r="L19" s="2">
        <v>648628</v>
      </c>
      <c r="M19" s="2">
        <v>648628</v>
      </c>
      <c r="N19" s="1" t="s">
        <v>45</v>
      </c>
      <c r="O19" s="2">
        <v>1.3738250000000001</v>
      </c>
      <c r="P19" s="3">
        <f t="shared" si="0"/>
        <v>648628</v>
      </c>
      <c r="Q19" s="3" t="str">
        <f t="shared" si="1"/>
        <v>68770729648628</v>
      </c>
      <c r="R19" t="s">
        <v>91</v>
      </c>
      <c r="S19" t="s">
        <v>60</v>
      </c>
      <c r="T19" t="s">
        <v>102</v>
      </c>
    </row>
    <row r="20" spans="1:29" hidden="1">
      <c r="A20" t="s">
        <v>29</v>
      </c>
      <c r="B20" s="1" t="s">
        <v>126</v>
      </c>
      <c r="C20" s="1" t="s">
        <v>69</v>
      </c>
      <c r="D20" s="1" t="s">
        <v>127</v>
      </c>
      <c r="E20" s="1" t="s">
        <v>128</v>
      </c>
      <c r="F20" s="1" t="s">
        <v>129</v>
      </c>
      <c r="G20" s="1" t="s">
        <v>130</v>
      </c>
      <c r="H20" s="1" t="s">
        <v>131</v>
      </c>
      <c r="I20" s="1">
        <v>136</v>
      </c>
      <c r="J20" s="2">
        <v>6777876.3899999997</v>
      </c>
      <c r="K20" s="2">
        <v>6777876.3947048001</v>
      </c>
      <c r="L20" s="2">
        <v>4892643.1399999997</v>
      </c>
      <c r="M20" s="2">
        <v>4892643.1399999997</v>
      </c>
      <c r="N20" s="1" t="s">
        <v>45</v>
      </c>
      <c r="O20" s="2">
        <v>1.3853200000000001</v>
      </c>
      <c r="P20" s="3">
        <f t="shared" si="0"/>
        <v>4892643.1399999997</v>
      </c>
      <c r="Q20" s="3" t="str">
        <f t="shared" si="1"/>
        <v>705159654892643.14</v>
      </c>
      <c r="R20" t="s">
        <v>132</v>
      </c>
      <c r="S20" t="s">
        <v>60</v>
      </c>
      <c r="AA20" t="s">
        <v>67</v>
      </c>
    </row>
    <row r="21" spans="1:29" hidden="1">
      <c r="A21" t="s">
        <v>29</v>
      </c>
      <c r="B21" s="1" t="s">
        <v>133</v>
      </c>
      <c r="C21" s="1" t="s">
        <v>69</v>
      </c>
      <c r="D21" s="1" t="s">
        <v>134</v>
      </c>
      <c r="E21" s="1" t="s">
        <v>135</v>
      </c>
      <c r="F21" s="1" t="s">
        <v>136</v>
      </c>
      <c r="G21" s="1" t="s">
        <v>137</v>
      </c>
      <c r="H21" s="1" t="s">
        <v>138</v>
      </c>
      <c r="I21" s="1">
        <v>130</v>
      </c>
      <c r="J21" s="2">
        <v>10583.82</v>
      </c>
      <c r="K21" s="2">
        <v>98.89</v>
      </c>
      <c r="L21" s="2">
        <v>10583.82</v>
      </c>
      <c r="M21" s="2">
        <v>98.89</v>
      </c>
      <c r="N21" s="1" t="s">
        <v>36</v>
      </c>
      <c r="O21" s="2">
        <v>1</v>
      </c>
      <c r="P21" s="3">
        <f t="shared" si="0"/>
        <v>74.167500000000004</v>
      </c>
      <c r="Q21" s="3" t="str">
        <f t="shared" si="1"/>
        <v>FLSI-70621098.89</v>
      </c>
      <c r="R21" t="s">
        <v>139</v>
      </c>
      <c r="S21" t="s">
        <v>140</v>
      </c>
      <c r="AB21" t="s">
        <v>85</v>
      </c>
    </row>
    <row r="22" spans="1:29" hidden="1">
      <c r="A22" t="s">
        <v>29</v>
      </c>
      <c r="B22" s="1" t="s">
        <v>111</v>
      </c>
      <c r="C22" s="1" t="s">
        <v>69</v>
      </c>
      <c r="D22" s="1" t="s">
        <v>141</v>
      </c>
      <c r="E22" s="1" t="s">
        <v>142</v>
      </c>
      <c r="F22" s="1" t="s">
        <v>143</v>
      </c>
      <c r="G22" s="1" t="s">
        <v>144</v>
      </c>
      <c r="H22" s="1" t="s">
        <v>145</v>
      </c>
      <c r="I22" s="1">
        <v>124</v>
      </c>
      <c r="J22" s="2">
        <v>697984.06</v>
      </c>
      <c r="K22" s="2">
        <v>667005.72126565001</v>
      </c>
      <c r="L22" s="2">
        <v>506684</v>
      </c>
      <c r="M22" s="2">
        <v>484196.05</v>
      </c>
      <c r="N22" s="1" t="s">
        <v>45</v>
      </c>
      <c r="O22" s="2">
        <v>1.377553</v>
      </c>
      <c r="P22" s="3">
        <f t="shared" si="0"/>
        <v>484196.05</v>
      </c>
      <c r="Q22" s="3" t="str">
        <f t="shared" si="1"/>
        <v>0932128419484196.05</v>
      </c>
      <c r="R22" t="s">
        <v>146</v>
      </c>
      <c r="S22" t="s">
        <v>60</v>
      </c>
      <c r="T22" t="s">
        <v>102</v>
      </c>
      <c r="AB22" t="s">
        <v>147</v>
      </c>
    </row>
    <row r="23" spans="1:29" hidden="1">
      <c r="A23" t="s">
        <v>29</v>
      </c>
      <c r="B23" s="1" t="s">
        <v>148</v>
      </c>
      <c r="C23" s="1" t="s">
        <v>69</v>
      </c>
      <c r="D23" s="1" t="s">
        <v>149</v>
      </c>
      <c r="E23" s="1" t="s">
        <v>150</v>
      </c>
      <c r="F23" s="1" t="s">
        <v>151</v>
      </c>
      <c r="G23" s="1" t="s">
        <v>152</v>
      </c>
      <c r="H23" s="1" t="s">
        <v>153</v>
      </c>
      <c r="I23" s="1">
        <v>116</v>
      </c>
      <c r="J23" s="2">
        <v>152537.45000000001</v>
      </c>
      <c r="K23" s="2">
        <v>152537.45000000001</v>
      </c>
      <c r="L23" s="2">
        <v>152537.45000000001</v>
      </c>
      <c r="M23" s="2">
        <v>152537.45000000001</v>
      </c>
      <c r="N23" s="1" t="s">
        <v>36</v>
      </c>
      <c r="O23" s="2">
        <v>1</v>
      </c>
      <c r="P23" s="3">
        <f t="shared" si="0"/>
        <v>114403.08750000001</v>
      </c>
      <c r="Q23" s="3" t="str">
        <f t="shared" si="1"/>
        <v>CB00472038152537.45</v>
      </c>
      <c r="R23" t="s">
        <v>154</v>
      </c>
      <c r="S23" t="s">
        <v>155</v>
      </c>
      <c r="T23" t="s">
        <v>102</v>
      </c>
    </row>
    <row r="24" spans="1:29" hidden="1">
      <c r="A24" t="s">
        <v>29</v>
      </c>
      <c r="B24" s="1" t="s">
        <v>153</v>
      </c>
      <c r="C24" s="1" t="s">
        <v>31</v>
      </c>
      <c r="D24" s="1" t="s">
        <v>32</v>
      </c>
      <c r="E24" s="1" t="s">
        <v>156</v>
      </c>
      <c r="F24" s="1" t="s">
        <v>156</v>
      </c>
      <c r="G24" s="1" t="s">
        <v>35</v>
      </c>
      <c r="H24" s="1" t="s">
        <v>153</v>
      </c>
      <c r="I24" s="1">
        <v>116</v>
      </c>
      <c r="J24" s="2">
        <v>-16974.75</v>
      </c>
      <c r="K24" s="2">
        <v>-16974.75</v>
      </c>
      <c r="L24" s="2">
        <v>-16974.75</v>
      </c>
      <c r="M24" s="2">
        <v>-16974.75</v>
      </c>
      <c r="N24" s="1" t="s">
        <v>36</v>
      </c>
      <c r="O24" s="2">
        <v>1</v>
      </c>
      <c r="P24" s="3">
        <f t="shared" si="0"/>
        <v>-12731.0625</v>
      </c>
      <c r="Q24" s="3" t="str">
        <f t="shared" si="1"/>
        <v>-16974.75</v>
      </c>
      <c r="R24" t="s">
        <v>139</v>
      </c>
      <c r="S24" t="s">
        <v>60</v>
      </c>
      <c r="AB24" t="s">
        <v>40</v>
      </c>
    </row>
    <row r="25" spans="1:29" hidden="1">
      <c r="A25" t="s">
        <v>29</v>
      </c>
      <c r="B25" s="1" t="s">
        <v>157</v>
      </c>
      <c r="C25" s="1" t="s">
        <v>69</v>
      </c>
      <c r="D25" s="1" t="s">
        <v>158</v>
      </c>
      <c r="E25" s="1" t="s">
        <v>71</v>
      </c>
      <c r="F25" s="1" t="s">
        <v>72</v>
      </c>
      <c r="G25" s="1" t="s">
        <v>159</v>
      </c>
      <c r="H25" s="1" t="s">
        <v>160</v>
      </c>
      <c r="I25" s="1">
        <v>110</v>
      </c>
      <c r="J25" s="2">
        <v>20749611.449999999</v>
      </c>
      <c r="K25" s="2">
        <v>20749611.452999521</v>
      </c>
      <c r="L25" s="2">
        <v>14991908.880000001</v>
      </c>
      <c r="M25" s="2">
        <v>14991908.880000001</v>
      </c>
      <c r="N25" s="1" t="s">
        <v>45</v>
      </c>
      <c r="O25" s="2">
        <v>1.3840539999999999</v>
      </c>
      <c r="P25" s="3">
        <f t="shared" si="0"/>
        <v>14991908.880000001</v>
      </c>
      <c r="Q25" s="3" t="str">
        <f t="shared" si="1"/>
        <v>9190901414991908.88</v>
      </c>
      <c r="R25" t="s">
        <v>74</v>
      </c>
      <c r="S25" t="s">
        <v>161</v>
      </c>
      <c r="T25" t="s">
        <v>162</v>
      </c>
    </row>
    <row r="26" spans="1:29" hidden="1">
      <c r="A26" t="s">
        <v>29</v>
      </c>
      <c r="B26" s="1" t="s">
        <v>125</v>
      </c>
      <c r="C26" s="1" t="s">
        <v>69</v>
      </c>
      <c r="D26" s="1" t="s">
        <v>163</v>
      </c>
      <c r="E26" s="1" t="s">
        <v>150</v>
      </c>
      <c r="F26" s="1" t="s">
        <v>151</v>
      </c>
      <c r="G26" s="1" t="s">
        <v>164</v>
      </c>
      <c r="H26" s="1" t="s">
        <v>165</v>
      </c>
      <c r="I26" s="1">
        <v>109</v>
      </c>
      <c r="J26" s="2">
        <v>76037.11</v>
      </c>
      <c r="K26" s="2">
        <v>76037.11</v>
      </c>
      <c r="L26" s="2">
        <v>76037.11</v>
      </c>
      <c r="M26" s="2">
        <v>76037.11</v>
      </c>
      <c r="N26" s="1" t="s">
        <v>36</v>
      </c>
      <c r="O26" s="2">
        <v>1</v>
      </c>
      <c r="P26" s="3">
        <f t="shared" si="0"/>
        <v>57027.832500000004</v>
      </c>
      <c r="Q26" s="3" t="str">
        <f t="shared" si="1"/>
        <v>CB0047254376037.11</v>
      </c>
      <c r="R26" t="s">
        <v>166</v>
      </c>
    </row>
    <row r="27" spans="1:29" hidden="1">
      <c r="A27" t="s">
        <v>29</v>
      </c>
      <c r="B27" s="1" t="s">
        <v>167</v>
      </c>
      <c r="C27" s="1" t="s">
        <v>69</v>
      </c>
      <c r="D27" s="1" t="s">
        <v>168</v>
      </c>
      <c r="E27" s="1" t="s">
        <v>71</v>
      </c>
      <c r="F27" s="1" t="s">
        <v>72</v>
      </c>
      <c r="G27" s="1" t="s">
        <v>32</v>
      </c>
      <c r="H27" s="1" t="s">
        <v>169</v>
      </c>
      <c r="I27" s="1">
        <v>108</v>
      </c>
      <c r="J27" s="2">
        <v>9672588.1999999993</v>
      </c>
      <c r="K27" s="2">
        <v>9672588.1953922193</v>
      </c>
      <c r="L27" s="2">
        <v>7031776.4299999997</v>
      </c>
      <c r="M27" s="2">
        <v>7031776.4299999997</v>
      </c>
      <c r="N27" s="1" t="s">
        <v>45</v>
      </c>
      <c r="O27" s="2">
        <v>1.3755539999999999</v>
      </c>
      <c r="P27" s="3">
        <f t="shared" si="0"/>
        <v>7031776.4299999997</v>
      </c>
      <c r="Q27" s="3" t="str">
        <f t="shared" si="1"/>
        <v>919090167031776.43</v>
      </c>
      <c r="R27" t="s">
        <v>74</v>
      </c>
      <c r="S27" t="s">
        <v>170</v>
      </c>
    </row>
    <row r="28" spans="1:29" hidden="1">
      <c r="A28" t="s">
        <v>29</v>
      </c>
      <c r="B28" s="1" t="s">
        <v>167</v>
      </c>
      <c r="C28" s="1" t="s">
        <v>69</v>
      </c>
      <c r="D28" s="1" t="s">
        <v>171</v>
      </c>
      <c r="E28" s="1" t="s">
        <v>93</v>
      </c>
      <c r="F28" s="1" t="s">
        <v>94</v>
      </c>
      <c r="G28" s="1" t="s">
        <v>172</v>
      </c>
      <c r="H28" s="1" t="s">
        <v>173</v>
      </c>
      <c r="I28" s="1">
        <v>104</v>
      </c>
      <c r="J28" s="2">
        <v>449540.68</v>
      </c>
      <c r="K28" s="2">
        <v>449540.67607799999</v>
      </c>
      <c r="L28" s="2">
        <v>326807</v>
      </c>
      <c r="M28" s="2">
        <v>326807</v>
      </c>
      <c r="N28" s="1" t="s">
        <v>45</v>
      </c>
      <c r="O28" s="2">
        <v>1.3755539999999999</v>
      </c>
      <c r="P28" s="3">
        <f t="shared" si="0"/>
        <v>326807</v>
      </c>
      <c r="Q28" s="3" t="str">
        <f t="shared" si="1"/>
        <v>635040326807</v>
      </c>
      <c r="R28" t="s">
        <v>91</v>
      </c>
      <c r="S28" t="s">
        <v>60</v>
      </c>
      <c r="T28" t="s">
        <v>102</v>
      </c>
      <c r="AB28" t="s">
        <v>85</v>
      </c>
    </row>
    <row r="29" spans="1:29" hidden="1">
      <c r="A29" t="s">
        <v>29</v>
      </c>
      <c r="B29" s="1" t="s">
        <v>167</v>
      </c>
      <c r="C29" s="1" t="s">
        <v>69</v>
      </c>
      <c r="D29" s="1" t="s">
        <v>174</v>
      </c>
      <c r="E29" s="1" t="s">
        <v>78</v>
      </c>
      <c r="F29" s="1" t="s">
        <v>79</v>
      </c>
      <c r="G29" s="1" t="s">
        <v>175</v>
      </c>
      <c r="H29" s="1" t="s">
        <v>173</v>
      </c>
      <c r="I29" s="1">
        <v>104</v>
      </c>
      <c r="J29" s="2">
        <v>508.5</v>
      </c>
      <c r="K29" s="2">
        <v>508.5</v>
      </c>
      <c r="L29" s="2">
        <v>508.5</v>
      </c>
      <c r="M29" s="2">
        <v>508.5</v>
      </c>
      <c r="N29" s="1" t="s">
        <v>36</v>
      </c>
      <c r="O29" s="2">
        <v>1</v>
      </c>
      <c r="P29" s="3">
        <f t="shared" si="0"/>
        <v>381.375</v>
      </c>
      <c r="Q29" s="3" t="str">
        <f t="shared" si="1"/>
        <v>1361700508.5</v>
      </c>
      <c r="R29" t="s">
        <v>82</v>
      </c>
      <c r="S29" t="s">
        <v>60</v>
      </c>
      <c r="T29" t="s">
        <v>83</v>
      </c>
      <c r="AB29" t="s">
        <v>85</v>
      </c>
      <c r="AC29" t="s">
        <v>86</v>
      </c>
    </row>
    <row r="30" spans="1:29" hidden="1">
      <c r="A30" t="s">
        <v>29</v>
      </c>
      <c r="B30" s="1" t="s">
        <v>167</v>
      </c>
      <c r="C30" s="1" t="s">
        <v>69</v>
      </c>
      <c r="D30" s="1" t="s">
        <v>176</v>
      </c>
      <c r="E30" s="1" t="s">
        <v>177</v>
      </c>
      <c r="F30" s="1" t="s">
        <v>178</v>
      </c>
      <c r="G30" s="1" t="s">
        <v>32</v>
      </c>
      <c r="H30" s="1" t="s">
        <v>173</v>
      </c>
      <c r="I30" s="1">
        <v>104</v>
      </c>
      <c r="J30" s="2">
        <v>8258.25</v>
      </c>
      <c r="K30" s="2">
        <v>0.41266619999999998</v>
      </c>
      <c r="L30" s="2">
        <v>6003.58</v>
      </c>
      <c r="M30" s="2">
        <v>0.3</v>
      </c>
      <c r="N30" s="1" t="s">
        <v>45</v>
      </c>
      <c r="O30" s="2">
        <v>1.3755539999999999</v>
      </c>
      <c r="P30" s="3">
        <f t="shared" si="0"/>
        <v>0.3</v>
      </c>
      <c r="Q30" s="3" t="str">
        <f t="shared" si="1"/>
        <v>903003850.3</v>
      </c>
      <c r="R30" t="s">
        <v>37</v>
      </c>
      <c r="S30" t="s">
        <v>60</v>
      </c>
      <c r="AB30" t="s">
        <v>85</v>
      </c>
    </row>
    <row r="31" spans="1:29" hidden="1">
      <c r="A31" t="s">
        <v>29</v>
      </c>
      <c r="B31" s="1" t="s">
        <v>173</v>
      </c>
      <c r="C31" s="1" t="s">
        <v>51</v>
      </c>
      <c r="D31" s="1" t="s">
        <v>179</v>
      </c>
      <c r="E31" s="1" t="s">
        <v>180</v>
      </c>
      <c r="F31" s="1" t="s">
        <v>180</v>
      </c>
      <c r="G31" s="1" t="s">
        <v>181</v>
      </c>
      <c r="H31" s="1" t="s">
        <v>173</v>
      </c>
      <c r="I31" s="1">
        <v>104</v>
      </c>
      <c r="J31" s="2">
        <v>-4327.12</v>
      </c>
      <c r="K31" s="2">
        <v>-4327.12</v>
      </c>
      <c r="L31" s="2">
        <v>-4327.12</v>
      </c>
      <c r="M31" s="2">
        <v>-4327.12</v>
      </c>
      <c r="N31" s="1" t="s">
        <v>36</v>
      </c>
      <c r="O31" s="2">
        <v>1</v>
      </c>
      <c r="P31" s="3">
        <f t="shared" si="0"/>
        <v>-3245.34</v>
      </c>
      <c r="Q31" s="3" t="str">
        <f t="shared" si="1"/>
        <v>2025_Genieall-4327.12</v>
      </c>
      <c r="AB31" t="s">
        <v>40</v>
      </c>
    </row>
    <row r="32" spans="1:29" hidden="1">
      <c r="A32" t="s">
        <v>29</v>
      </c>
      <c r="B32" s="1" t="s">
        <v>173</v>
      </c>
      <c r="C32" s="1" t="s">
        <v>69</v>
      </c>
      <c r="D32" s="1" t="s">
        <v>182</v>
      </c>
      <c r="E32" s="1" t="s">
        <v>183</v>
      </c>
      <c r="F32" s="1" t="s">
        <v>184</v>
      </c>
      <c r="G32" s="1" t="s">
        <v>185</v>
      </c>
      <c r="H32" s="1" t="s">
        <v>173</v>
      </c>
      <c r="I32" s="1">
        <v>104</v>
      </c>
      <c r="J32" s="2">
        <v>3210</v>
      </c>
      <c r="K32" s="2">
        <v>3210</v>
      </c>
      <c r="L32" s="2">
        <v>3210</v>
      </c>
      <c r="M32" s="2">
        <v>3210</v>
      </c>
      <c r="N32" s="1" t="s">
        <v>36</v>
      </c>
      <c r="O32" s="2">
        <v>1</v>
      </c>
      <c r="P32" s="3">
        <f t="shared" si="0"/>
        <v>2407.5</v>
      </c>
      <c r="Q32" s="3" t="str">
        <f t="shared" si="1"/>
        <v>389.3210</v>
      </c>
      <c r="R32" t="s">
        <v>186</v>
      </c>
      <c r="AB32" t="s">
        <v>85</v>
      </c>
    </row>
    <row r="33" spans="1:29" hidden="1">
      <c r="A33" t="s">
        <v>29</v>
      </c>
      <c r="B33" s="1" t="s">
        <v>173</v>
      </c>
      <c r="C33" s="1" t="s">
        <v>187</v>
      </c>
      <c r="D33" s="1" t="s">
        <v>32</v>
      </c>
      <c r="E33" s="1" t="s">
        <v>183</v>
      </c>
      <c r="F33" s="1" t="s">
        <v>184</v>
      </c>
      <c r="G33" s="1" t="s">
        <v>188</v>
      </c>
      <c r="H33" s="1" t="s">
        <v>173</v>
      </c>
      <c r="I33" s="1">
        <v>104</v>
      </c>
      <c r="J33" s="2">
        <v>3160</v>
      </c>
      <c r="K33" s="2">
        <v>3160</v>
      </c>
      <c r="L33" s="2">
        <v>3160</v>
      </c>
      <c r="M33" s="2">
        <v>3160</v>
      </c>
      <c r="N33" s="1" t="s">
        <v>36</v>
      </c>
      <c r="O33" s="2">
        <v>1</v>
      </c>
      <c r="P33" s="3">
        <f t="shared" si="0"/>
        <v>2370</v>
      </c>
      <c r="Q33" s="3" t="str">
        <f t="shared" si="1"/>
        <v>3160</v>
      </c>
      <c r="AB33" t="s">
        <v>85</v>
      </c>
    </row>
    <row r="34" spans="1:29" hidden="1">
      <c r="A34" t="s">
        <v>29</v>
      </c>
      <c r="B34" s="1" t="s">
        <v>173</v>
      </c>
      <c r="C34" s="1" t="s">
        <v>51</v>
      </c>
      <c r="D34" s="1" t="s">
        <v>189</v>
      </c>
      <c r="E34" s="1" t="s">
        <v>71</v>
      </c>
      <c r="F34" s="1" t="s">
        <v>72</v>
      </c>
      <c r="G34" s="1" t="s">
        <v>190</v>
      </c>
      <c r="H34" s="1" t="s">
        <v>173</v>
      </c>
      <c r="I34" s="1">
        <v>104</v>
      </c>
      <c r="J34" s="2">
        <v>-37269857.340000004</v>
      </c>
      <c r="K34" s="2">
        <v>-27466604.671862882</v>
      </c>
      <c r="L34" s="2">
        <v>-26733301.010000002</v>
      </c>
      <c r="M34" s="2">
        <v>-19701524.579999998</v>
      </c>
      <c r="N34" s="1" t="s">
        <v>45</v>
      </c>
      <c r="O34" s="2">
        <v>1.394136</v>
      </c>
      <c r="P34" s="3">
        <f t="shared" si="0"/>
        <v>-19701524.579999998</v>
      </c>
      <c r="Q34" s="3" t="str">
        <f t="shared" si="1"/>
        <v>2025-2621-19701524.58</v>
      </c>
      <c r="AB34" t="s">
        <v>40</v>
      </c>
    </row>
    <row r="35" spans="1:29" hidden="1">
      <c r="A35" t="s">
        <v>29</v>
      </c>
      <c r="B35" s="1" t="s">
        <v>191</v>
      </c>
      <c r="C35" s="1" t="s">
        <v>69</v>
      </c>
      <c r="D35" s="1" t="s">
        <v>192</v>
      </c>
      <c r="E35" s="1" t="s">
        <v>71</v>
      </c>
      <c r="F35" s="1" t="s">
        <v>72</v>
      </c>
      <c r="G35" s="1" t="s">
        <v>193</v>
      </c>
      <c r="H35" s="1" t="s">
        <v>194</v>
      </c>
      <c r="I35" s="1">
        <v>101</v>
      </c>
      <c r="J35" s="2">
        <v>567973.5</v>
      </c>
      <c r="K35" s="2">
        <v>567973.5047856</v>
      </c>
      <c r="L35" s="2">
        <v>411363.36</v>
      </c>
      <c r="M35" s="2">
        <v>411363.36</v>
      </c>
      <c r="N35" s="1" t="s">
        <v>45</v>
      </c>
      <c r="O35" s="2">
        <v>1.3807100000000001</v>
      </c>
      <c r="P35" s="3">
        <f t="shared" si="0"/>
        <v>411363.36</v>
      </c>
      <c r="Q35" s="3" t="str">
        <f t="shared" si="1"/>
        <v>91909024411363.36</v>
      </c>
      <c r="R35" t="s">
        <v>74</v>
      </c>
      <c r="S35" t="s">
        <v>60</v>
      </c>
      <c r="T35" t="s">
        <v>102</v>
      </c>
      <c r="AB35" t="s">
        <v>85</v>
      </c>
    </row>
    <row r="36" spans="1:29" hidden="1">
      <c r="A36" t="s">
        <v>29</v>
      </c>
      <c r="B36" s="1" t="s">
        <v>191</v>
      </c>
      <c r="C36" s="1" t="s">
        <v>69</v>
      </c>
      <c r="D36" s="1" t="s">
        <v>195</v>
      </c>
      <c r="E36" s="1" t="s">
        <v>71</v>
      </c>
      <c r="F36" s="1" t="s">
        <v>72</v>
      </c>
      <c r="G36" s="1" t="s">
        <v>196</v>
      </c>
      <c r="H36" s="1" t="s">
        <v>194</v>
      </c>
      <c r="I36" s="1">
        <v>101</v>
      </c>
      <c r="J36" s="2">
        <v>283986.74</v>
      </c>
      <c r="K36" s="2">
        <v>283986.73858569999</v>
      </c>
      <c r="L36" s="2">
        <v>205681.67</v>
      </c>
      <c r="M36" s="2">
        <v>205681.67</v>
      </c>
      <c r="N36" s="1" t="s">
        <v>45</v>
      </c>
      <c r="O36" s="2">
        <v>1.3807100000000001</v>
      </c>
      <c r="P36" s="3">
        <f t="shared" si="0"/>
        <v>205681.67</v>
      </c>
      <c r="Q36" s="3" t="str">
        <f t="shared" si="1"/>
        <v>91909025205681.67</v>
      </c>
      <c r="R36" t="s">
        <v>74</v>
      </c>
      <c r="S36" t="s">
        <v>60</v>
      </c>
      <c r="T36" t="s">
        <v>102</v>
      </c>
      <c r="AB36" t="s">
        <v>85</v>
      </c>
    </row>
    <row r="37" spans="1:29" hidden="1">
      <c r="A37" t="s">
        <v>29</v>
      </c>
      <c r="B37" s="1" t="s">
        <v>197</v>
      </c>
      <c r="C37" s="1" t="s">
        <v>69</v>
      </c>
      <c r="D37" s="1" t="s">
        <v>198</v>
      </c>
      <c r="E37" s="1" t="s">
        <v>199</v>
      </c>
      <c r="F37" s="1" t="s">
        <v>200</v>
      </c>
      <c r="G37" s="1" t="s">
        <v>201</v>
      </c>
      <c r="H37" s="1" t="s">
        <v>197</v>
      </c>
      <c r="I37" s="1">
        <v>97</v>
      </c>
      <c r="J37" s="2">
        <v>201128.25</v>
      </c>
      <c r="K37" s="2">
        <v>201128.25</v>
      </c>
      <c r="L37" s="2">
        <v>201128.25</v>
      </c>
      <c r="M37" s="2">
        <v>201128.25</v>
      </c>
      <c r="N37" s="1" t="s">
        <v>36</v>
      </c>
      <c r="O37" s="2">
        <v>1</v>
      </c>
      <c r="P37" s="3">
        <f t="shared" si="0"/>
        <v>150846.1875</v>
      </c>
      <c r="Q37" s="3" t="str">
        <f t="shared" si="1"/>
        <v>25206120000026201128.25</v>
      </c>
      <c r="R37" t="s">
        <v>202</v>
      </c>
      <c r="S37" t="s">
        <v>60</v>
      </c>
      <c r="AB37" t="s">
        <v>85</v>
      </c>
    </row>
    <row r="38" spans="1:29" hidden="1">
      <c r="A38" t="s">
        <v>29</v>
      </c>
      <c r="B38" s="1" t="s">
        <v>203</v>
      </c>
      <c r="C38" s="1" t="s">
        <v>69</v>
      </c>
      <c r="D38" s="1" t="s">
        <v>204</v>
      </c>
      <c r="E38" s="1" t="s">
        <v>150</v>
      </c>
      <c r="F38" s="1" t="s">
        <v>151</v>
      </c>
      <c r="G38" s="1" t="s">
        <v>205</v>
      </c>
      <c r="H38" s="1" t="s">
        <v>206</v>
      </c>
      <c r="I38" s="1">
        <v>96</v>
      </c>
      <c r="J38" s="2">
        <v>18316.400000000001</v>
      </c>
      <c r="K38" s="2">
        <v>18316.400000000001</v>
      </c>
      <c r="L38" s="2">
        <v>18316.400000000001</v>
      </c>
      <c r="M38" s="2">
        <v>18316.400000000001</v>
      </c>
      <c r="N38" s="1" t="s">
        <v>36</v>
      </c>
      <c r="O38" s="2">
        <v>1</v>
      </c>
      <c r="P38" s="3">
        <f t="shared" si="0"/>
        <v>13737.300000000001</v>
      </c>
      <c r="Q38" s="3" t="str">
        <f t="shared" si="1"/>
        <v>CB0047325418316.4</v>
      </c>
      <c r="R38" t="s">
        <v>207</v>
      </c>
      <c r="AB38" t="s">
        <v>85</v>
      </c>
    </row>
    <row r="39" spans="1:29" hidden="1">
      <c r="A39" t="s">
        <v>29</v>
      </c>
      <c r="B39" s="1" t="s">
        <v>208</v>
      </c>
      <c r="C39" s="1" t="s">
        <v>69</v>
      </c>
      <c r="D39" s="1" t="s">
        <v>209</v>
      </c>
      <c r="E39" s="1" t="s">
        <v>210</v>
      </c>
      <c r="F39" s="1" t="s">
        <v>211</v>
      </c>
      <c r="G39" s="1" t="s">
        <v>212</v>
      </c>
      <c r="H39" s="1" t="s">
        <v>213</v>
      </c>
      <c r="I39" s="1">
        <v>95</v>
      </c>
      <c r="J39" s="2">
        <v>128645.92</v>
      </c>
      <c r="K39" s="2">
        <v>128645.922876</v>
      </c>
      <c r="L39" s="2">
        <v>92749.2</v>
      </c>
      <c r="M39" s="2">
        <v>92749.2</v>
      </c>
      <c r="N39" s="1" t="s">
        <v>45</v>
      </c>
      <c r="O39" s="2">
        <v>1.38703</v>
      </c>
      <c r="P39" s="3">
        <f t="shared" si="0"/>
        <v>92749.2</v>
      </c>
      <c r="Q39" s="3" t="str">
        <f t="shared" si="1"/>
        <v>139067M92749.2</v>
      </c>
      <c r="R39" t="s">
        <v>214</v>
      </c>
      <c r="AB39" t="s">
        <v>85</v>
      </c>
    </row>
    <row r="40" spans="1:29" hidden="1">
      <c r="A40" t="s">
        <v>29</v>
      </c>
      <c r="B40" s="1" t="s">
        <v>215</v>
      </c>
      <c r="C40" s="1" t="s">
        <v>31</v>
      </c>
      <c r="D40" s="1" t="s">
        <v>32</v>
      </c>
      <c r="E40" s="1" t="s">
        <v>156</v>
      </c>
      <c r="F40" s="1" t="s">
        <v>156</v>
      </c>
      <c r="G40" s="1" t="s">
        <v>35</v>
      </c>
      <c r="H40" s="1" t="s">
        <v>215</v>
      </c>
      <c r="I40" s="1">
        <v>91</v>
      </c>
      <c r="J40" s="2">
        <v>-7807.37</v>
      </c>
      <c r="K40" s="2">
        <v>-7807.37</v>
      </c>
      <c r="L40" s="2">
        <v>-7807.37</v>
      </c>
      <c r="M40" s="2">
        <v>-7807.37</v>
      </c>
      <c r="N40" s="1" t="s">
        <v>36</v>
      </c>
      <c r="O40" s="2">
        <v>1</v>
      </c>
      <c r="P40" s="3">
        <f t="shared" si="0"/>
        <v>-5855.5275000000001</v>
      </c>
      <c r="Q40" s="3" t="str">
        <f t="shared" si="1"/>
        <v>-7807.37</v>
      </c>
      <c r="R40" t="s">
        <v>139</v>
      </c>
      <c r="S40" t="s">
        <v>60</v>
      </c>
      <c r="AB40" t="s">
        <v>40</v>
      </c>
    </row>
    <row r="41" spans="1:29" hidden="1">
      <c r="A41" t="s">
        <v>29</v>
      </c>
      <c r="B41" s="1" t="s">
        <v>216</v>
      </c>
      <c r="C41" s="1" t="s">
        <v>217</v>
      </c>
      <c r="D41" s="1" t="s">
        <v>32</v>
      </c>
      <c r="E41" s="1" t="s">
        <v>218</v>
      </c>
      <c r="F41" s="1" t="s">
        <v>58</v>
      </c>
      <c r="G41" s="1" t="s">
        <v>32</v>
      </c>
      <c r="H41" s="1" t="s">
        <v>32</v>
      </c>
      <c r="I41" s="1" t="s">
        <v>32</v>
      </c>
      <c r="J41" s="2">
        <v>-72920</v>
      </c>
      <c r="K41" s="2">
        <v>-16180.76</v>
      </c>
      <c r="L41" s="2">
        <v>-72920</v>
      </c>
      <c r="M41" s="2">
        <v>-16180.76</v>
      </c>
      <c r="N41" s="1" t="s">
        <v>36</v>
      </c>
      <c r="O41" s="2">
        <v>1</v>
      </c>
      <c r="P41" s="3">
        <f t="shared" si="0"/>
        <v>-12135.57</v>
      </c>
      <c r="Q41" s="3" t="str">
        <f t="shared" si="1"/>
        <v>-16180.76</v>
      </c>
      <c r="R41" t="s">
        <v>37</v>
      </c>
      <c r="S41" t="s">
        <v>38</v>
      </c>
      <c r="AB41" t="s">
        <v>40</v>
      </c>
    </row>
    <row r="42" spans="1:29" hidden="1">
      <c r="A42" t="s">
        <v>29</v>
      </c>
      <c r="B42" s="1" t="s">
        <v>219</v>
      </c>
      <c r="C42" s="1" t="s">
        <v>217</v>
      </c>
      <c r="D42" s="1" t="s">
        <v>220</v>
      </c>
      <c r="E42" s="1" t="s">
        <v>221</v>
      </c>
      <c r="F42" s="1" t="s">
        <v>222</v>
      </c>
      <c r="G42" s="1" t="s">
        <v>32</v>
      </c>
      <c r="H42" s="1" t="s">
        <v>32</v>
      </c>
      <c r="I42" s="1" t="s">
        <v>32</v>
      </c>
      <c r="J42" s="2">
        <v>-37301.31</v>
      </c>
      <c r="K42" s="2">
        <v>-11088.980793000001</v>
      </c>
      <c r="L42" s="2">
        <v>-27027</v>
      </c>
      <c r="M42" s="2">
        <v>-8034.62</v>
      </c>
      <c r="N42" s="1" t="s">
        <v>45</v>
      </c>
      <c r="O42" s="2">
        <v>1.38015</v>
      </c>
      <c r="P42" s="3">
        <f t="shared" si="0"/>
        <v>-8034.62</v>
      </c>
      <c r="Q42" s="3" t="str">
        <f t="shared" si="1"/>
        <v>C-FGL0002255-8034.62</v>
      </c>
      <c r="R42" t="s">
        <v>139</v>
      </c>
      <c r="S42" t="s">
        <v>60</v>
      </c>
      <c r="AB42" t="s">
        <v>40</v>
      </c>
    </row>
    <row r="43" spans="1:29" hidden="1">
      <c r="A43" t="s">
        <v>29</v>
      </c>
      <c r="B43" s="1" t="s">
        <v>223</v>
      </c>
      <c r="C43" s="1" t="s">
        <v>217</v>
      </c>
      <c r="D43" s="1" t="s">
        <v>224</v>
      </c>
      <c r="E43" s="1" t="s">
        <v>65</v>
      </c>
      <c r="F43" s="1" t="s">
        <v>54</v>
      </c>
      <c r="G43" s="1" t="s">
        <v>32</v>
      </c>
      <c r="H43" s="1" t="s">
        <v>32</v>
      </c>
      <c r="I43" s="1" t="s">
        <v>32</v>
      </c>
      <c r="J43" s="2">
        <v>-5416.4</v>
      </c>
      <c r="K43" s="2">
        <v>-5416.4</v>
      </c>
      <c r="L43" s="2">
        <v>-5416.4</v>
      </c>
      <c r="M43" s="2">
        <v>-5416.4</v>
      </c>
      <c r="N43" s="1" t="s">
        <v>36</v>
      </c>
      <c r="O43" s="2">
        <v>1</v>
      </c>
      <c r="P43" s="3">
        <f t="shared" si="0"/>
        <v>-4062.2999999999997</v>
      </c>
      <c r="Q43" s="3" t="str">
        <f t="shared" si="1"/>
        <v>112456888-1-5416.4</v>
      </c>
      <c r="R43" t="s">
        <v>59</v>
      </c>
      <c r="S43" t="s">
        <v>60</v>
      </c>
      <c r="AB43" t="s">
        <v>40</v>
      </c>
    </row>
    <row r="44" spans="1:29" hidden="1">
      <c r="A44" t="s">
        <v>29</v>
      </c>
      <c r="B44" s="1" t="s">
        <v>223</v>
      </c>
      <c r="C44" s="1" t="s">
        <v>217</v>
      </c>
      <c r="D44" s="1" t="s">
        <v>225</v>
      </c>
      <c r="E44" s="1" t="s">
        <v>65</v>
      </c>
      <c r="F44" s="1" t="s">
        <v>54</v>
      </c>
      <c r="G44" s="1" t="s">
        <v>32</v>
      </c>
      <c r="H44" s="1" t="s">
        <v>32</v>
      </c>
      <c r="I44" s="1" t="s">
        <v>32</v>
      </c>
      <c r="J44" s="2">
        <v>-6770.5</v>
      </c>
      <c r="K44" s="2">
        <v>-6770.5</v>
      </c>
      <c r="L44" s="2">
        <v>-6770.5</v>
      </c>
      <c r="M44" s="2">
        <v>-6770.5</v>
      </c>
      <c r="N44" s="1" t="s">
        <v>36</v>
      </c>
      <c r="O44" s="2">
        <v>1</v>
      </c>
      <c r="P44" s="3">
        <f t="shared" si="0"/>
        <v>-5077.875</v>
      </c>
      <c r="Q44" s="3" t="str">
        <f t="shared" si="1"/>
        <v>112160727-1-6770.5</v>
      </c>
      <c r="R44" t="s">
        <v>59</v>
      </c>
      <c r="S44" t="s">
        <v>60</v>
      </c>
      <c r="AB44" t="s">
        <v>40</v>
      </c>
    </row>
    <row r="45" spans="1:29" hidden="1">
      <c r="A45" t="s">
        <v>29</v>
      </c>
      <c r="B45" s="1" t="s">
        <v>223</v>
      </c>
      <c r="C45" s="1" t="s">
        <v>217</v>
      </c>
      <c r="D45" s="1" t="s">
        <v>226</v>
      </c>
      <c r="E45" s="1" t="s">
        <v>65</v>
      </c>
      <c r="F45" s="1" t="s">
        <v>54</v>
      </c>
      <c r="G45" s="1" t="s">
        <v>32</v>
      </c>
      <c r="H45" s="1" t="s">
        <v>32</v>
      </c>
      <c r="I45" s="1" t="s">
        <v>32</v>
      </c>
      <c r="J45" s="2">
        <v>-5867.76</v>
      </c>
      <c r="K45" s="2">
        <v>-5867.76</v>
      </c>
      <c r="L45" s="2">
        <v>-5867.76</v>
      </c>
      <c r="M45" s="2">
        <v>-5867.76</v>
      </c>
      <c r="N45" s="1" t="s">
        <v>36</v>
      </c>
      <c r="O45" s="2">
        <v>1</v>
      </c>
      <c r="P45" s="3">
        <f t="shared" si="0"/>
        <v>-4400.82</v>
      </c>
      <c r="Q45" s="3" t="str">
        <f t="shared" si="1"/>
        <v>112459552-1-5867.76</v>
      </c>
      <c r="R45" t="s">
        <v>59</v>
      </c>
      <c r="S45" t="s">
        <v>60</v>
      </c>
      <c r="AB45" t="s">
        <v>40</v>
      </c>
    </row>
    <row r="46" spans="1:29" hidden="1">
      <c r="A46" t="s">
        <v>29</v>
      </c>
      <c r="B46" s="1" t="s">
        <v>223</v>
      </c>
      <c r="C46" s="1" t="s">
        <v>217</v>
      </c>
      <c r="D46" s="1" t="s">
        <v>227</v>
      </c>
      <c r="E46" s="1" t="s">
        <v>65</v>
      </c>
      <c r="F46" s="1" t="s">
        <v>54</v>
      </c>
      <c r="G46" s="1" t="s">
        <v>32</v>
      </c>
      <c r="H46" s="1" t="s">
        <v>32</v>
      </c>
      <c r="I46" s="1" t="s">
        <v>32</v>
      </c>
      <c r="J46" s="2">
        <v>-5416.4</v>
      </c>
      <c r="K46" s="2">
        <v>-5416.4</v>
      </c>
      <c r="L46" s="2">
        <v>-5416.4</v>
      </c>
      <c r="M46" s="2">
        <v>-5416.4</v>
      </c>
      <c r="N46" s="1" t="s">
        <v>36</v>
      </c>
      <c r="O46" s="2">
        <v>1</v>
      </c>
      <c r="P46" s="3">
        <f t="shared" si="0"/>
        <v>-4062.2999999999997</v>
      </c>
      <c r="Q46" s="3" t="str">
        <f t="shared" si="1"/>
        <v>115209670-1-5416.4</v>
      </c>
      <c r="R46" t="s">
        <v>59</v>
      </c>
      <c r="S46" t="s">
        <v>60</v>
      </c>
      <c r="AB46" t="s">
        <v>40</v>
      </c>
    </row>
    <row r="47" spans="1:29" hidden="1">
      <c r="A47" t="s">
        <v>29</v>
      </c>
      <c r="B47" s="1" t="s">
        <v>223</v>
      </c>
      <c r="C47" s="1" t="s">
        <v>217</v>
      </c>
      <c r="D47" s="1" t="s">
        <v>228</v>
      </c>
      <c r="E47" s="1" t="s">
        <v>65</v>
      </c>
      <c r="F47" s="1" t="s">
        <v>54</v>
      </c>
      <c r="G47" s="1" t="s">
        <v>32</v>
      </c>
      <c r="H47" s="1" t="s">
        <v>32</v>
      </c>
      <c r="I47" s="1" t="s">
        <v>32</v>
      </c>
      <c r="J47" s="2">
        <v>-5867.76</v>
      </c>
      <c r="K47" s="2">
        <v>-5867.76</v>
      </c>
      <c r="L47" s="2">
        <v>-5867.76</v>
      </c>
      <c r="M47" s="2">
        <v>-5867.76</v>
      </c>
      <c r="N47" s="1" t="s">
        <v>36</v>
      </c>
      <c r="O47" s="2">
        <v>1</v>
      </c>
      <c r="P47" s="3">
        <f t="shared" si="0"/>
        <v>-4400.82</v>
      </c>
      <c r="Q47" s="3" t="str">
        <f t="shared" si="1"/>
        <v>115209629-1-5867.76</v>
      </c>
      <c r="R47" t="s">
        <v>59</v>
      </c>
      <c r="S47" t="s">
        <v>60</v>
      </c>
      <c r="AB47" t="s">
        <v>40</v>
      </c>
      <c r="AC47" t="s">
        <v>229</v>
      </c>
    </row>
    <row r="48" spans="1:29" hidden="1">
      <c r="A48" t="s">
        <v>29</v>
      </c>
      <c r="B48" s="1" t="s">
        <v>230</v>
      </c>
      <c r="C48" s="1" t="s">
        <v>217</v>
      </c>
      <c r="D48" s="1" t="s">
        <v>32</v>
      </c>
      <c r="E48" s="1" t="s">
        <v>231</v>
      </c>
      <c r="F48" s="1" t="s">
        <v>232</v>
      </c>
      <c r="G48" s="1" t="s">
        <v>32</v>
      </c>
      <c r="H48" s="1" t="s">
        <v>32</v>
      </c>
      <c r="I48" s="1" t="s">
        <v>32</v>
      </c>
      <c r="J48" s="2">
        <v>-12992.18</v>
      </c>
      <c r="K48" s="2">
        <v>-12992.18</v>
      </c>
      <c r="L48" s="2">
        <v>-12992.18</v>
      </c>
      <c r="M48" s="2">
        <v>-12992.18</v>
      </c>
      <c r="N48" s="1" t="s">
        <v>36</v>
      </c>
      <c r="O48" s="2">
        <v>1</v>
      </c>
      <c r="P48" s="3">
        <f t="shared" si="0"/>
        <v>-9744.1350000000002</v>
      </c>
      <c r="Q48" s="3" t="str">
        <f t="shared" si="1"/>
        <v>-12992.18</v>
      </c>
      <c r="R48" t="s">
        <v>214</v>
      </c>
      <c r="S48" t="s">
        <v>233</v>
      </c>
      <c r="AB48" t="s">
        <v>40</v>
      </c>
    </row>
    <row r="49" spans="1:29" hidden="1">
      <c r="A49" t="s">
        <v>29</v>
      </c>
      <c r="B49" s="1" t="s">
        <v>167</v>
      </c>
      <c r="C49" s="1" t="s">
        <v>217</v>
      </c>
      <c r="D49" s="1" t="s">
        <v>32</v>
      </c>
      <c r="E49" s="1" t="s">
        <v>57</v>
      </c>
      <c r="F49" s="1" t="s">
        <v>58</v>
      </c>
      <c r="G49" s="1" t="s">
        <v>234</v>
      </c>
      <c r="H49" s="1" t="s">
        <v>32</v>
      </c>
      <c r="I49" s="1" t="s">
        <v>32</v>
      </c>
      <c r="J49" s="2">
        <v>-19469.849999999999</v>
      </c>
      <c r="K49" s="2">
        <v>-19469.85267126</v>
      </c>
      <c r="L49" s="2">
        <v>-14154.19</v>
      </c>
      <c r="M49" s="2">
        <v>-14154.19</v>
      </c>
      <c r="N49" s="1" t="s">
        <v>45</v>
      </c>
      <c r="O49" s="2">
        <v>1.3755539999999999</v>
      </c>
      <c r="P49" s="3">
        <f t="shared" si="0"/>
        <v>-14154.19</v>
      </c>
      <c r="Q49" s="3" t="str">
        <f t="shared" si="1"/>
        <v>-14154.19</v>
      </c>
      <c r="R49" t="s">
        <v>59</v>
      </c>
      <c r="S49" t="s">
        <v>60</v>
      </c>
      <c r="AB49" t="s">
        <v>40</v>
      </c>
    </row>
    <row r="50" spans="1:29" hidden="1">
      <c r="A50" t="s">
        <v>29</v>
      </c>
      <c r="B50" s="1" t="s">
        <v>173</v>
      </c>
      <c r="C50" s="1" t="s">
        <v>217</v>
      </c>
      <c r="D50" s="1" t="s">
        <v>235</v>
      </c>
      <c r="E50" s="1" t="s">
        <v>236</v>
      </c>
      <c r="F50" s="1" t="s">
        <v>237</v>
      </c>
      <c r="G50" s="1" t="s">
        <v>32</v>
      </c>
      <c r="H50" s="1" t="s">
        <v>32</v>
      </c>
      <c r="I50" s="1" t="s">
        <v>32</v>
      </c>
      <c r="J50" s="2">
        <v>-1485.14</v>
      </c>
      <c r="K50" s="2">
        <v>-1485.14</v>
      </c>
      <c r="L50" s="2">
        <v>-1485.14</v>
      </c>
      <c r="M50" s="2">
        <v>-1485.14</v>
      </c>
      <c r="N50" s="1" t="s">
        <v>36</v>
      </c>
      <c r="O50" s="2">
        <v>1</v>
      </c>
      <c r="P50" s="3">
        <f t="shared" si="0"/>
        <v>-1113.855</v>
      </c>
      <c r="Q50" s="3" t="str">
        <f t="shared" si="1"/>
        <v>2025100043644-1485.14</v>
      </c>
      <c r="R50" t="s">
        <v>37</v>
      </c>
      <c r="AB50" t="s">
        <v>40</v>
      </c>
    </row>
    <row r="51" spans="1:29" hidden="1">
      <c r="A51" t="s">
        <v>29</v>
      </c>
      <c r="B51" s="1" t="s">
        <v>173</v>
      </c>
      <c r="C51" s="1" t="s">
        <v>217</v>
      </c>
      <c r="D51" s="1" t="s">
        <v>238</v>
      </c>
      <c r="E51" s="1" t="s">
        <v>239</v>
      </c>
      <c r="F51" s="1" t="s">
        <v>240</v>
      </c>
      <c r="G51" s="1" t="s">
        <v>241</v>
      </c>
      <c r="H51" s="1" t="s">
        <v>32</v>
      </c>
      <c r="I51" s="1" t="s">
        <v>32</v>
      </c>
      <c r="J51" s="2">
        <v>-81739.210000000006</v>
      </c>
      <c r="K51" s="2">
        <v>-81739.21139928</v>
      </c>
      <c r="L51" s="2">
        <v>-58630.73</v>
      </c>
      <c r="M51" s="2">
        <v>-58630.73</v>
      </c>
      <c r="N51" s="1" t="s">
        <v>45</v>
      </c>
      <c r="O51" s="2">
        <v>1.394136</v>
      </c>
      <c r="P51" s="3">
        <f t="shared" si="0"/>
        <v>-58630.73</v>
      </c>
      <c r="Q51" s="3" t="str">
        <f t="shared" si="1"/>
        <v>9116586739-58630.73</v>
      </c>
      <c r="R51" t="s">
        <v>59</v>
      </c>
      <c r="S51" t="s">
        <v>40</v>
      </c>
      <c r="T51" t="b">
        <v>0</v>
      </c>
      <c r="AB51" t="s">
        <v>40</v>
      </c>
    </row>
    <row r="52" spans="1:29" hidden="1">
      <c r="A52" t="s">
        <v>29</v>
      </c>
      <c r="B52" s="1" t="s">
        <v>173</v>
      </c>
      <c r="C52" s="1" t="s">
        <v>217</v>
      </c>
      <c r="D52" s="1" t="s">
        <v>242</v>
      </c>
      <c r="E52" s="1" t="s">
        <v>243</v>
      </c>
      <c r="F52" s="1" t="s">
        <v>244</v>
      </c>
      <c r="G52" s="1" t="s">
        <v>245</v>
      </c>
      <c r="H52" s="1" t="s">
        <v>32</v>
      </c>
      <c r="I52" s="1" t="s">
        <v>32</v>
      </c>
      <c r="J52" s="2">
        <v>-1592</v>
      </c>
      <c r="K52" s="2">
        <v>-1592.0036325000001</v>
      </c>
      <c r="L52" s="2">
        <v>-1147.5</v>
      </c>
      <c r="M52" s="2">
        <v>-1147.5</v>
      </c>
      <c r="N52" s="1" t="s">
        <v>45</v>
      </c>
      <c r="O52" s="2">
        <v>1.387367</v>
      </c>
      <c r="P52" s="3">
        <f t="shared" si="0"/>
        <v>-1147.5</v>
      </c>
      <c r="Q52" s="3" t="str">
        <f t="shared" si="1"/>
        <v>2464351-1147.5</v>
      </c>
      <c r="R52" t="s">
        <v>246</v>
      </c>
      <c r="S52" t="s">
        <v>60</v>
      </c>
      <c r="AB52" t="s">
        <v>40</v>
      </c>
    </row>
    <row r="53" spans="1:29" hidden="1">
      <c r="A53" t="s">
        <v>29</v>
      </c>
      <c r="B53" s="1" t="s">
        <v>173</v>
      </c>
      <c r="C53" s="1" t="s">
        <v>217</v>
      </c>
      <c r="D53" s="1" t="s">
        <v>247</v>
      </c>
      <c r="E53" s="1" t="s">
        <v>243</v>
      </c>
      <c r="F53" s="1" t="s">
        <v>244</v>
      </c>
      <c r="G53" s="1" t="s">
        <v>248</v>
      </c>
      <c r="H53" s="1" t="s">
        <v>32</v>
      </c>
      <c r="I53" s="1" t="s">
        <v>32</v>
      </c>
      <c r="J53" s="2">
        <v>-994.02</v>
      </c>
      <c r="K53" s="2">
        <v>-994.01896799999997</v>
      </c>
      <c r="L53" s="2">
        <v>-713</v>
      </c>
      <c r="M53" s="2">
        <v>-713</v>
      </c>
      <c r="N53" s="1" t="s">
        <v>45</v>
      </c>
      <c r="O53" s="2">
        <v>1.394136</v>
      </c>
      <c r="P53" s="3">
        <f t="shared" si="0"/>
        <v>-713</v>
      </c>
      <c r="Q53" s="3" t="str">
        <f t="shared" si="1"/>
        <v>2414367-713</v>
      </c>
      <c r="AB53" t="s">
        <v>40</v>
      </c>
    </row>
    <row r="54" spans="1:29" hidden="1">
      <c r="A54" t="s">
        <v>29</v>
      </c>
      <c r="B54" s="1" t="s">
        <v>249</v>
      </c>
      <c r="C54" s="1" t="s">
        <v>69</v>
      </c>
      <c r="D54" s="1" t="s">
        <v>250</v>
      </c>
      <c r="E54" s="1" t="s">
        <v>142</v>
      </c>
      <c r="F54" s="1" t="s">
        <v>143</v>
      </c>
      <c r="G54" s="1" t="s">
        <v>251</v>
      </c>
      <c r="H54" s="1" t="s">
        <v>252</v>
      </c>
      <c r="I54" s="1">
        <v>90</v>
      </c>
      <c r="J54" s="2">
        <v>475492</v>
      </c>
      <c r="K54" s="2">
        <v>475491.99683700001</v>
      </c>
      <c r="L54" s="2">
        <v>345359.25</v>
      </c>
      <c r="M54" s="2">
        <v>345359.25</v>
      </c>
      <c r="N54" s="1" t="s">
        <v>45</v>
      </c>
      <c r="O54" s="2">
        <v>1.3768039999999999</v>
      </c>
      <c r="P54" s="3">
        <f t="shared" si="0"/>
        <v>345359.25</v>
      </c>
      <c r="Q54" s="3" t="str">
        <f t="shared" si="1"/>
        <v>0932146971345359.25</v>
      </c>
      <c r="R54" t="s">
        <v>59</v>
      </c>
      <c r="S54" t="s">
        <v>60</v>
      </c>
      <c r="T54" t="s">
        <v>102</v>
      </c>
    </row>
    <row r="55" spans="1:29" hidden="1">
      <c r="A55" t="s">
        <v>29</v>
      </c>
      <c r="B55" s="1" t="s">
        <v>249</v>
      </c>
      <c r="C55" s="1" t="s">
        <v>69</v>
      </c>
      <c r="D55" s="1" t="s">
        <v>253</v>
      </c>
      <c r="E55" s="1" t="s">
        <v>142</v>
      </c>
      <c r="F55" s="1" t="s">
        <v>143</v>
      </c>
      <c r="G55" s="1" t="s">
        <v>254</v>
      </c>
      <c r="H55" s="1" t="s">
        <v>252</v>
      </c>
      <c r="I55" s="1">
        <v>90</v>
      </c>
      <c r="J55" s="2">
        <v>126797.87</v>
      </c>
      <c r="K55" s="2">
        <v>126797.8658232</v>
      </c>
      <c r="L55" s="2">
        <v>92095.8</v>
      </c>
      <c r="M55" s="2">
        <v>92095.8</v>
      </c>
      <c r="N55" s="1" t="s">
        <v>45</v>
      </c>
      <c r="O55" s="2">
        <v>1.3768039999999999</v>
      </c>
      <c r="P55" s="3">
        <f t="shared" si="0"/>
        <v>92095.8</v>
      </c>
      <c r="Q55" s="3" t="str">
        <f t="shared" si="1"/>
        <v>093214697292095.8</v>
      </c>
      <c r="R55" t="s">
        <v>59</v>
      </c>
      <c r="S55" t="s">
        <v>60</v>
      </c>
      <c r="T55" t="s">
        <v>102</v>
      </c>
    </row>
    <row r="56" spans="1:29" hidden="1">
      <c r="A56" t="s">
        <v>29</v>
      </c>
      <c r="B56" s="1" t="s">
        <v>249</v>
      </c>
      <c r="C56" s="1" t="s">
        <v>69</v>
      </c>
      <c r="D56" s="1" t="s">
        <v>255</v>
      </c>
      <c r="E56" s="1" t="s">
        <v>142</v>
      </c>
      <c r="F56" s="1" t="s">
        <v>143</v>
      </c>
      <c r="G56" s="1" t="s">
        <v>256</v>
      </c>
      <c r="H56" s="1" t="s">
        <v>252</v>
      </c>
      <c r="I56" s="1">
        <v>90</v>
      </c>
      <c r="J56" s="2">
        <v>609357.75</v>
      </c>
      <c r="K56" s="2">
        <v>609357.75483440002</v>
      </c>
      <c r="L56" s="2">
        <v>442588.6</v>
      </c>
      <c r="M56" s="2">
        <v>442588.6</v>
      </c>
      <c r="N56" s="1" t="s">
        <v>45</v>
      </c>
      <c r="O56" s="2">
        <v>1.3768039999999999</v>
      </c>
      <c r="P56" s="3">
        <f t="shared" si="0"/>
        <v>442588.6</v>
      </c>
      <c r="Q56" s="3" t="str">
        <f t="shared" si="1"/>
        <v>0932146977442588.6</v>
      </c>
      <c r="R56" t="s">
        <v>59</v>
      </c>
      <c r="S56" t="s">
        <v>60</v>
      </c>
      <c r="T56" t="s">
        <v>102</v>
      </c>
    </row>
    <row r="57" spans="1:29" hidden="1">
      <c r="A57" t="s">
        <v>29</v>
      </c>
      <c r="B57" s="1" t="s">
        <v>257</v>
      </c>
      <c r="C57" s="1" t="s">
        <v>69</v>
      </c>
      <c r="D57" s="1" t="s">
        <v>258</v>
      </c>
      <c r="E57" s="1" t="s">
        <v>88</v>
      </c>
      <c r="F57" s="1" t="s">
        <v>89</v>
      </c>
      <c r="G57" s="1" t="s">
        <v>259</v>
      </c>
      <c r="H57" s="1" t="s">
        <v>260</v>
      </c>
      <c r="I57" s="1">
        <v>88</v>
      </c>
      <c r="J57" s="2">
        <v>5511.35</v>
      </c>
      <c r="K57" s="2">
        <v>5511.348</v>
      </c>
      <c r="L57" s="2">
        <v>4000</v>
      </c>
      <c r="M57" s="2">
        <v>4000</v>
      </c>
      <c r="N57" s="1" t="s">
        <v>45</v>
      </c>
      <c r="O57" s="2">
        <v>1.377837</v>
      </c>
      <c r="P57" s="3">
        <f t="shared" si="0"/>
        <v>4000</v>
      </c>
      <c r="Q57" s="3" t="str">
        <f t="shared" si="1"/>
        <v>109884000</v>
      </c>
      <c r="R57" t="s">
        <v>91</v>
      </c>
      <c r="S57" t="s">
        <v>60</v>
      </c>
      <c r="T57" t="s">
        <v>102</v>
      </c>
    </row>
    <row r="58" spans="1:29" hidden="1">
      <c r="A58" t="s">
        <v>29</v>
      </c>
      <c r="B58" s="1" t="s">
        <v>261</v>
      </c>
      <c r="C58" s="1" t="s">
        <v>69</v>
      </c>
      <c r="D58" s="1" t="s">
        <v>262</v>
      </c>
      <c r="E58" s="1" t="s">
        <v>65</v>
      </c>
      <c r="F58" s="1" t="s">
        <v>54</v>
      </c>
      <c r="G58" s="1" t="s">
        <v>263</v>
      </c>
      <c r="H58" s="1" t="s">
        <v>264</v>
      </c>
      <c r="I58" s="1">
        <v>87</v>
      </c>
      <c r="J58" s="2">
        <v>241.68</v>
      </c>
      <c r="K58" s="2">
        <v>241.68</v>
      </c>
      <c r="L58" s="2">
        <v>241.68</v>
      </c>
      <c r="M58" s="2">
        <v>241.68</v>
      </c>
      <c r="N58" s="1" t="s">
        <v>36</v>
      </c>
      <c r="O58" s="2">
        <v>1</v>
      </c>
      <c r="P58" s="3">
        <f t="shared" si="0"/>
        <v>181.26</v>
      </c>
      <c r="Q58" s="3" t="str">
        <f t="shared" si="1"/>
        <v>116360083241.68</v>
      </c>
      <c r="R58" t="s">
        <v>59</v>
      </c>
    </row>
    <row r="59" spans="1:29" hidden="1">
      <c r="A59" t="s">
        <v>29</v>
      </c>
      <c r="B59" s="1" t="s">
        <v>265</v>
      </c>
      <c r="C59" s="1" t="s">
        <v>69</v>
      </c>
      <c r="D59" s="1" t="s">
        <v>266</v>
      </c>
      <c r="E59" s="1" t="s">
        <v>150</v>
      </c>
      <c r="F59" s="1" t="s">
        <v>151</v>
      </c>
      <c r="G59" s="1" t="s">
        <v>267</v>
      </c>
      <c r="H59" s="1" t="s">
        <v>268</v>
      </c>
      <c r="I59" s="1">
        <v>83</v>
      </c>
      <c r="J59" s="2">
        <v>127452.56</v>
      </c>
      <c r="K59" s="2">
        <v>127452.56</v>
      </c>
      <c r="L59" s="2">
        <v>127452.56</v>
      </c>
      <c r="M59" s="2">
        <v>127452.56</v>
      </c>
      <c r="N59" s="1" t="s">
        <v>36</v>
      </c>
      <c r="O59" s="2">
        <v>1</v>
      </c>
      <c r="P59" s="3">
        <f t="shared" si="0"/>
        <v>95589.42</v>
      </c>
      <c r="Q59" s="3" t="str">
        <f t="shared" si="1"/>
        <v>CB00474020127452.56</v>
      </c>
      <c r="R59" t="s">
        <v>207</v>
      </c>
    </row>
    <row r="60" spans="1:29" hidden="1">
      <c r="A60" t="s">
        <v>29</v>
      </c>
      <c r="B60" s="1" t="s">
        <v>265</v>
      </c>
      <c r="C60" s="1" t="s">
        <v>69</v>
      </c>
      <c r="D60" s="1" t="s">
        <v>269</v>
      </c>
      <c r="E60" s="1" t="s">
        <v>270</v>
      </c>
      <c r="F60" s="1" t="s">
        <v>271</v>
      </c>
      <c r="G60" s="1" t="s">
        <v>272</v>
      </c>
      <c r="H60" s="1" t="s">
        <v>268</v>
      </c>
      <c r="I60" s="1">
        <v>83</v>
      </c>
      <c r="J60" s="2">
        <v>3321.9</v>
      </c>
      <c r="K60" s="2">
        <v>3321.9</v>
      </c>
      <c r="L60" s="2">
        <v>3321.9</v>
      </c>
      <c r="M60" s="2">
        <v>3321.9</v>
      </c>
      <c r="N60" s="1" t="s">
        <v>36</v>
      </c>
      <c r="O60" s="2">
        <v>1</v>
      </c>
      <c r="P60" s="3">
        <f t="shared" si="0"/>
        <v>2491.4250000000002</v>
      </c>
      <c r="Q60" s="3" t="str">
        <f t="shared" si="1"/>
        <v>TY250805583321.9</v>
      </c>
      <c r="R60" t="s">
        <v>82</v>
      </c>
    </row>
    <row r="61" spans="1:29" hidden="1">
      <c r="A61" t="s">
        <v>29</v>
      </c>
      <c r="B61" s="1" t="s">
        <v>273</v>
      </c>
      <c r="C61" s="1" t="s">
        <v>69</v>
      </c>
      <c r="D61" s="1" t="s">
        <v>274</v>
      </c>
      <c r="E61" s="1" t="s">
        <v>275</v>
      </c>
      <c r="F61" s="1" t="s">
        <v>276</v>
      </c>
      <c r="G61" s="1" t="s">
        <v>277</v>
      </c>
      <c r="H61" s="1" t="s">
        <v>273</v>
      </c>
      <c r="I61" s="1">
        <v>82</v>
      </c>
      <c r="J61" s="2">
        <v>4182.1099999999997</v>
      </c>
      <c r="K61" s="2">
        <v>4182.1099999999997</v>
      </c>
      <c r="L61" s="2">
        <v>4182.1099999999997</v>
      </c>
      <c r="M61" s="2">
        <v>4182.1099999999997</v>
      </c>
      <c r="N61" s="1" t="s">
        <v>36</v>
      </c>
      <c r="O61" s="2">
        <v>1</v>
      </c>
      <c r="P61" s="3">
        <f t="shared" si="0"/>
        <v>3136.5824999999995</v>
      </c>
      <c r="Q61" s="3" t="str">
        <f t="shared" si="1"/>
        <v>10189545344182.11</v>
      </c>
      <c r="R61" t="s">
        <v>37</v>
      </c>
      <c r="AC61" t="s">
        <v>278</v>
      </c>
    </row>
    <row r="62" spans="1:29" hidden="1">
      <c r="A62" t="s">
        <v>29</v>
      </c>
      <c r="B62" s="1" t="s">
        <v>126</v>
      </c>
      <c r="C62" s="1" t="s">
        <v>69</v>
      </c>
      <c r="D62" s="1" t="s">
        <v>279</v>
      </c>
      <c r="E62" s="1" t="s">
        <v>128</v>
      </c>
      <c r="F62" s="1" t="s">
        <v>129</v>
      </c>
      <c r="G62" s="1" t="s">
        <v>130</v>
      </c>
      <c r="H62" s="1" t="s">
        <v>280</v>
      </c>
      <c r="I62" s="1">
        <v>76</v>
      </c>
      <c r="J62" s="2">
        <v>4975476.33</v>
      </c>
      <c r="K62" s="2">
        <v>4975476.3290951997</v>
      </c>
      <c r="L62" s="2">
        <v>3591571.86</v>
      </c>
      <c r="M62" s="2">
        <v>3591571.86</v>
      </c>
      <c r="N62" s="1" t="s">
        <v>45</v>
      </c>
      <c r="O62" s="2">
        <v>1.3853200000000001</v>
      </c>
      <c r="P62" s="3">
        <f t="shared" si="0"/>
        <v>3591571.86</v>
      </c>
      <c r="Q62" s="3" t="str">
        <f t="shared" si="1"/>
        <v>705159663591571.86</v>
      </c>
      <c r="R62" t="s">
        <v>132</v>
      </c>
      <c r="S62" t="s">
        <v>60</v>
      </c>
      <c r="AA62" t="s">
        <v>67</v>
      </c>
    </row>
    <row r="63" spans="1:29" hidden="1">
      <c r="A63" t="s">
        <v>29</v>
      </c>
      <c r="B63" s="1" t="s">
        <v>281</v>
      </c>
      <c r="C63" s="1" t="s">
        <v>69</v>
      </c>
      <c r="D63" s="1" t="s">
        <v>282</v>
      </c>
      <c r="E63" s="1" t="s">
        <v>283</v>
      </c>
      <c r="F63" s="1" t="s">
        <v>283</v>
      </c>
      <c r="G63" s="1" t="s">
        <v>284</v>
      </c>
      <c r="H63" s="1" t="s">
        <v>280</v>
      </c>
      <c r="I63" s="1">
        <v>76</v>
      </c>
      <c r="J63" s="2">
        <v>174864.88</v>
      </c>
      <c r="K63" s="2">
        <v>174864.88</v>
      </c>
      <c r="L63" s="2">
        <v>174864.88</v>
      </c>
      <c r="M63" s="2">
        <v>174864.88</v>
      </c>
      <c r="N63" s="1" t="s">
        <v>36</v>
      </c>
      <c r="O63" s="2">
        <v>1</v>
      </c>
      <c r="P63" s="3">
        <f t="shared" si="0"/>
        <v>131148.66</v>
      </c>
      <c r="Q63" s="3" t="str">
        <f t="shared" si="1"/>
        <v>10009250008634174864.88</v>
      </c>
      <c r="R63" t="s">
        <v>285</v>
      </c>
    </row>
    <row r="64" spans="1:29" hidden="1">
      <c r="A64" t="s">
        <v>29</v>
      </c>
      <c r="B64" s="1" t="s">
        <v>281</v>
      </c>
      <c r="C64" s="1" t="s">
        <v>69</v>
      </c>
      <c r="D64" s="1" t="s">
        <v>286</v>
      </c>
      <c r="E64" s="1" t="s">
        <v>283</v>
      </c>
      <c r="F64" s="1" t="s">
        <v>283</v>
      </c>
      <c r="G64" s="1" t="s">
        <v>287</v>
      </c>
      <c r="H64" s="1" t="s">
        <v>280</v>
      </c>
      <c r="I64" s="1">
        <v>76</v>
      </c>
      <c r="J64" s="2">
        <v>290161.42</v>
      </c>
      <c r="K64" s="2">
        <v>290161.42</v>
      </c>
      <c r="L64" s="2">
        <v>290161.42</v>
      </c>
      <c r="M64" s="2">
        <v>290161.42</v>
      </c>
      <c r="N64" s="1" t="s">
        <v>36</v>
      </c>
      <c r="O64" s="2">
        <v>1</v>
      </c>
      <c r="P64" s="3">
        <f t="shared" si="0"/>
        <v>217621.065</v>
      </c>
      <c r="Q64" s="3" t="str">
        <f t="shared" si="1"/>
        <v>10009250008635290161.42</v>
      </c>
      <c r="R64" t="s">
        <v>285</v>
      </c>
    </row>
    <row r="65" spans="1:28" hidden="1">
      <c r="A65" t="s">
        <v>29</v>
      </c>
      <c r="B65" s="1" t="s">
        <v>288</v>
      </c>
      <c r="C65" s="1" t="s">
        <v>69</v>
      </c>
      <c r="D65" s="1" t="s">
        <v>289</v>
      </c>
      <c r="E65" s="1" t="s">
        <v>290</v>
      </c>
      <c r="F65" s="1" t="s">
        <v>291</v>
      </c>
      <c r="G65" s="1" t="s">
        <v>292</v>
      </c>
      <c r="H65" s="1" t="s">
        <v>293</v>
      </c>
      <c r="I65" s="1">
        <v>75</v>
      </c>
      <c r="J65" s="2">
        <v>1554620.31</v>
      </c>
      <c r="K65" s="2">
        <v>1554620.3118749999</v>
      </c>
      <c r="L65" s="2">
        <v>1115875</v>
      </c>
      <c r="M65" s="2">
        <v>1115875</v>
      </c>
      <c r="N65" s="1" t="s">
        <v>45</v>
      </c>
      <c r="O65" s="2">
        <v>1.3931849999999999</v>
      </c>
      <c r="P65" s="3">
        <f t="shared" ref="P65:P128" si="2">IF(N65="CAD",$P$1,1)*M65</f>
        <v>1115875</v>
      </c>
      <c r="Q65" s="3" t="str">
        <f t="shared" ref="Q65:Q128" si="3">D65&amp;M65</f>
        <v>105741115875</v>
      </c>
      <c r="R65" t="s">
        <v>294</v>
      </c>
      <c r="S65" t="s">
        <v>60</v>
      </c>
      <c r="T65" t="s">
        <v>102</v>
      </c>
    </row>
    <row r="66" spans="1:28" hidden="1">
      <c r="A66" t="s">
        <v>29</v>
      </c>
      <c r="B66" s="1" t="s">
        <v>288</v>
      </c>
      <c r="C66" s="1" t="s">
        <v>69</v>
      </c>
      <c r="D66" s="1" t="s">
        <v>295</v>
      </c>
      <c r="E66" s="1" t="s">
        <v>128</v>
      </c>
      <c r="F66" s="1" t="s">
        <v>129</v>
      </c>
      <c r="G66" s="1" t="s">
        <v>296</v>
      </c>
      <c r="H66" s="1" t="s">
        <v>293</v>
      </c>
      <c r="I66" s="1">
        <v>75</v>
      </c>
      <c r="J66" s="2">
        <v>228226.13</v>
      </c>
      <c r="K66" s="2">
        <v>228226.1332785</v>
      </c>
      <c r="L66" s="2">
        <v>163816.1</v>
      </c>
      <c r="M66" s="2">
        <v>163816.1</v>
      </c>
      <c r="N66" s="1" t="s">
        <v>45</v>
      </c>
      <c r="O66" s="2">
        <v>1.3931849999999999</v>
      </c>
      <c r="P66" s="3">
        <f t="shared" si="2"/>
        <v>163816.1</v>
      </c>
      <c r="Q66" s="3" t="str">
        <f t="shared" si="3"/>
        <v>70518272163816.1</v>
      </c>
      <c r="R66" t="s">
        <v>132</v>
      </c>
    </row>
    <row r="67" spans="1:28" hidden="1">
      <c r="A67" t="s">
        <v>29</v>
      </c>
      <c r="B67" s="1" t="s">
        <v>173</v>
      </c>
      <c r="C67" s="1" t="s">
        <v>69</v>
      </c>
      <c r="D67" s="1" t="s">
        <v>297</v>
      </c>
      <c r="E67" s="1" t="s">
        <v>298</v>
      </c>
      <c r="F67" s="1" t="s">
        <v>299</v>
      </c>
      <c r="G67" s="1" t="s">
        <v>300</v>
      </c>
      <c r="H67" s="1" t="s">
        <v>301</v>
      </c>
      <c r="I67" s="1">
        <v>74</v>
      </c>
      <c r="J67" s="2">
        <v>1547.49</v>
      </c>
      <c r="K67" s="2">
        <v>1547.4909600000001</v>
      </c>
      <c r="L67" s="2">
        <v>1110</v>
      </c>
      <c r="M67" s="2">
        <v>1110</v>
      </c>
      <c r="N67" s="1" t="s">
        <v>45</v>
      </c>
      <c r="O67" s="2">
        <v>1.394136</v>
      </c>
      <c r="P67" s="3">
        <f t="shared" si="2"/>
        <v>1110</v>
      </c>
      <c r="Q67" s="3" t="str">
        <f t="shared" si="3"/>
        <v>CTRLHUB-31361110</v>
      </c>
      <c r="R67" t="s">
        <v>285</v>
      </c>
    </row>
    <row r="68" spans="1:28" hidden="1">
      <c r="A68" t="s">
        <v>29</v>
      </c>
      <c r="B68" s="1" t="s">
        <v>173</v>
      </c>
      <c r="C68" s="1" t="s">
        <v>69</v>
      </c>
      <c r="D68" s="1" t="s">
        <v>302</v>
      </c>
      <c r="E68" s="1" t="s">
        <v>303</v>
      </c>
      <c r="F68" s="1" t="s">
        <v>304</v>
      </c>
      <c r="G68" s="1" t="s">
        <v>305</v>
      </c>
      <c r="H68" s="1" t="s">
        <v>301</v>
      </c>
      <c r="I68" s="1">
        <v>74</v>
      </c>
      <c r="J68" s="2">
        <v>9379</v>
      </c>
      <c r="K68" s="2">
        <v>9379</v>
      </c>
      <c r="L68" s="2">
        <v>9379</v>
      </c>
      <c r="M68" s="2">
        <v>9379</v>
      </c>
      <c r="N68" s="1" t="s">
        <v>36</v>
      </c>
      <c r="O68" s="2">
        <v>1</v>
      </c>
      <c r="P68" s="3">
        <f t="shared" si="2"/>
        <v>7034.25</v>
      </c>
      <c r="Q68" s="3" t="str">
        <f t="shared" si="3"/>
        <v>912395149379</v>
      </c>
      <c r="R68" t="s">
        <v>306</v>
      </c>
      <c r="S68" t="s">
        <v>60</v>
      </c>
    </row>
    <row r="69" spans="1:28" hidden="1">
      <c r="A69" t="s">
        <v>29</v>
      </c>
      <c r="B69" s="1" t="s">
        <v>301</v>
      </c>
      <c r="C69" s="1" t="s">
        <v>69</v>
      </c>
      <c r="D69" s="1" t="s">
        <v>307</v>
      </c>
      <c r="E69" s="1" t="s">
        <v>308</v>
      </c>
      <c r="F69" s="1" t="s">
        <v>309</v>
      </c>
      <c r="G69" s="1" t="s">
        <v>310</v>
      </c>
      <c r="H69" s="1" t="s">
        <v>301</v>
      </c>
      <c r="I69" s="1">
        <v>74</v>
      </c>
      <c r="J69" s="2">
        <v>27204.75</v>
      </c>
      <c r="K69" s="2">
        <v>27204.75</v>
      </c>
      <c r="L69" s="2">
        <v>27204.75</v>
      </c>
      <c r="M69" s="2">
        <v>27204.75</v>
      </c>
      <c r="N69" s="1" t="s">
        <v>36</v>
      </c>
      <c r="O69" s="2">
        <v>1</v>
      </c>
      <c r="P69" s="3">
        <f t="shared" si="2"/>
        <v>20403.5625</v>
      </c>
      <c r="Q69" s="3" t="str">
        <f t="shared" si="3"/>
        <v>VN14517003227204.75</v>
      </c>
    </row>
    <row r="70" spans="1:28" hidden="1">
      <c r="A70" t="s">
        <v>29</v>
      </c>
      <c r="B70" s="1" t="s">
        <v>311</v>
      </c>
      <c r="C70" s="1" t="s">
        <v>69</v>
      </c>
      <c r="D70" s="1" t="s">
        <v>312</v>
      </c>
      <c r="E70" s="1" t="s">
        <v>313</v>
      </c>
      <c r="F70" s="1" t="s">
        <v>313</v>
      </c>
      <c r="G70" s="1" t="s">
        <v>314</v>
      </c>
      <c r="H70" s="1" t="s">
        <v>96</v>
      </c>
      <c r="I70" s="1">
        <v>73</v>
      </c>
      <c r="J70" s="2">
        <v>106869.75</v>
      </c>
      <c r="K70" s="2">
        <v>106869.75</v>
      </c>
      <c r="L70" s="2">
        <v>106869.75</v>
      </c>
      <c r="M70" s="2">
        <v>106869.75</v>
      </c>
      <c r="N70" s="1" t="s">
        <v>36</v>
      </c>
      <c r="O70" s="2">
        <v>1</v>
      </c>
      <c r="P70" s="3">
        <f t="shared" si="2"/>
        <v>80152.3125</v>
      </c>
      <c r="Q70" s="3" t="str">
        <f t="shared" si="3"/>
        <v>MC11037895106869.75</v>
      </c>
      <c r="R70" t="s">
        <v>37</v>
      </c>
      <c r="S70" t="s">
        <v>60</v>
      </c>
      <c r="T70" t="s">
        <v>102</v>
      </c>
      <c r="AB70" t="s">
        <v>85</v>
      </c>
    </row>
    <row r="71" spans="1:28" hidden="1">
      <c r="A71" t="s">
        <v>29</v>
      </c>
      <c r="B71" s="1" t="s">
        <v>96</v>
      </c>
      <c r="C71" s="1" t="s">
        <v>69</v>
      </c>
      <c r="D71" s="1" t="s">
        <v>315</v>
      </c>
      <c r="E71" s="1" t="s">
        <v>316</v>
      </c>
      <c r="F71" s="1" t="s">
        <v>316</v>
      </c>
      <c r="G71" s="1" t="s">
        <v>317</v>
      </c>
      <c r="H71" s="1" t="s">
        <v>96</v>
      </c>
      <c r="I71" s="1">
        <v>73</v>
      </c>
      <c r="J71" s="2">
        <v>197.64</v>
      </c>
      <c r="K71" s="2">
        <v>197.64</v>
      </c>
      <c r="L71" s="2">
        <v>197.64</v>
      </c>
      <c r="M71" s="2">
        <v>197.64</v>
      </c>
      <c r="N71" s="1" t="s">
        <v>36</v>
      </c>
      <c r="O71" s="2">
        <v>1</v>
      </c>
      <c r="P71" s="3">
        <f t="shared" si="2"/>
        <v>148.22999999999999</v>
      </c>
      <c r="Q71" s="3" t="str">
        <f t="shared" si="3"/>
        <v>140010 - Nov'25197.64</v>
      </c>
      <c r="R71" t="s">
        <v>318</v>
      </c>
      <c r="S71" t="s">
        <v>60</v>
      </c>
      <c r="AB71" t="s">
        <v>85</v>
      </c>
    </row>
    <row r="72" spans="1:28" hidden="1">
      <c r="A72" t="s">
        <v>29</v>
      </c>
      <c r="B72" s="1" t="s">
        <v>96</v>
      </c>
      <c r="C72" s="1" t="s">
        <v>69</v>
      </c>
      <c r="D72" s="1" t="s">
        <v>319</v>
      </c>
      <c r="E72" s="1" t="s">
        <v>320</v>
      </c>
      <c r="F72" s="1" t="s">
        <v>151</v>
      </c>
      <c r="G72" s="1" t="s">
        <v>321</v>
      </c>
      <c r="H72" s="1" t="s">
        <v>96</v>
      </c>
      <c r="I72" s="1">
        <v>73</v>
      </c>
      <c r="J72" s="2">
        <v>12496.81</v>
      </c>
      <c r="K72" s="2">
        <v>12496.8078585</v>
      </c>
      <c r="L72" s="2">
        <v>8892.31</v>
      </c>
      <c r="M72" s="2">
        <v>8892.31</v>
      </c>
      <c r="N72" s="1" t="s">
        <v>45</v>
      </c>
      <c r="O72" s="2">
        <v>1.4053500000000001</v>
      </c>
      <c r="P72" s="3">
        <f t="shared" si="2"/>
        <v>8892.31</v>
      </c>
      <c r="Q72" s="3" t="str">
        <f t="shared" si="3"/>
        <v>CB004768558892.31</v>
      </c>
      <c r="R72" t="s">
        <v>37</v>
      </c>
      <c r="S72" t="s">
        <v>60</v>
      </c>
      <c r="T72" t="s">
        <v>102</v>
      </c>
      <c r="AB72" t="s">
        <v>85</v>
      </c>
    </row>
    <row r="73" spans="1:28" hidden="1">
      <c r="A73" t="s">
        <v>29</v>
      </c>
      <c r="B73" s="1" t="s">
        <v>96</v>
      </c>
      <c r="C73" s="1" t="s">
        <v>69</v>
      </c>
      <c r="D73" s="1" t="s">
        <v>322</v>
      </c>
      <c r="E73" s="1" t="s">
        <v>323</v>
      </c>
      <c r="F73" s="1" t="s">
        <v>324</v>
      </c>
      <c r="G73" s="1" t="s">
        <v>325</v>
      </c>
      <c r="H73" s="1" t="s">
        <v>96</v>
      </c>
      <c r="I73" s="1">
        <v>73</v>
      </c>
      <c r="J73" s="2">
        <v>3333</v>
      </c>
      <c r="K73" s="2">
        <v>3333</v>
      </c>
      <c r="L73" s="2">
        <v>3333</v>
      </c>
      <c r="M73" s="2">
        <v>3333</v>
      </c>
      <c r="N73" s="1" t="s">
        <v>36</v>
      </c>
      <c r="O73" s="2">
        <v>1</v>
      </c>
      <c r="P73" s="3">
        <f t="shared" si="2"/>
        <v>2499.75</v>
      </c>
      <c r="Q73" s="3" t="str">
        <f t="shared" si="3"/>
        <v>42163333</v>
      </c>
      <c r="AB73" t="s">
        <v>85</v>
      </c>
    </row>
    <row r="74" spans="1:28" hidden="1">
      <c r="A74" t="s">
        <v>29</v>
      </c>
      <c r="B74" s="1" t="s">
        <v>96</v>
      </c>
      <c r="C74" s="1" t="s">
        <v>69</v>
      </c>
      <c r="D74" s="1" t="s">
        <v>326</v>
      </c>
      <c r="E74" s="1" t="s">
        <v>323</v>
      </c>
      <c r="F74" s="1" t="s">
        <v>324</v>
      </c>
      <c r="G74" s="1" t="s">
        <v>325</v>
      </c>
      <c r="H74" s="1" t="s">
        <v>96</v>
      </c>
      <c r="I74" s="1">
        <v>73</v>
      </c>
      <c r="J74" s="2">
        <v>3333</v>
      </c>
      <c r="K74" s="2">
        <v>3333</v>
      </c>
      <c r="L74" s="2">
        <v>3333</v>
      </c>
      <c r="M74" s="2">
        <v>3333</v>
      </c>
      <c r="N74" s="1" t="s">
        <v>36</v>
      </c>
      <c r="O74" s="2">
        <v>1</v>
      </c>
      <c r="P74" s="3">
        <f t="shared" si="2"/>
        <v>2499.75</v>
      </c>
      <c r="Q74" s="3" t="str">
        <f t="shared" si="3"/>
        <v>42173333</v>
      </c>
      <c r="AB74" t="s">
        <v>85</v>
      </c>
    </row>
    <row r="75" spans="1:28" hidden="1">
      <c r="A75" t="s">
        <v>29</v>
      </c>
      <c r="B75" s="1" t="s">
        <v>96</v>
      </c>
      <c r="C75" s="1" t="s">
        <v>69</v>
      </c>
      <c r="D75" s="1" t="s">
        <v>327</v>
      </c>
      <c r="E75" s="1" t="s">
        <v>328</v>
      </c>
      <c r="F75" s="1" t="s">
        <v>329</v>
      </c>
      <c r="G75" s="1" t="s">
        <v>330</v>
      </c>
      <c r="H75" s="1" t="s">
        <v>96</v>
      </c>
      <c r="I75" s="1">
        <v>73</v>
      </c>
      <c r="J75" s="2">
        <v>1559.4</v>
      </c>
      <c r="K75" s="2">
        <v>1559.4</v>
      </c>
      <c r="L75" s="2">
        <v>1559.4</v>
      </c>
      <c r="M75" s="2">
        <v>1559.4</v>
      </c>
      <c r="N75" s="1" t="s">
        <v>36</v>
      </c>
      <c r="O75" s="2">
        <v>1</v>
      </c>
      <c r="P75" s="3">
        <f t="shared" si="2"/>
        <v>1169.5500000000002</v>
      </c>
      <c r="Q75" s="3" t="str">
        <f t="shared" si="3"/>
        <v>51781559.4</v>
      </c>
      <c r="R75" t="s">
        <v>331</v>
      </c>
      <c r="AB75" t="s">
        <v>85</v>
      </c>
    </row>
    <row r="76" spans="1:28" hidden="1">
      <c r="A76" t="s">
        <v>29</v>
      </c>
      <c r="B76" s="1" t="s">
        <v>332</v>
      </c>
      <c r="C76" s="1" t="s">
        <v>69</v>
      </c>
      <c r="D76" s="1" t="s">
        <v>333</v>
      </c>
      <c r="E76" s="1" t="s">
        <v>334</v>
      </c>
      <c r="F76" s="1" t="s">
        <v>335</v>
      </c>
      <c r="G76" s="1" t="s">
        <v>336</v>
      </c>
      <c r="H76" s="1" t="s">
        <v>337</v>
      </c>
      <c r="I76" s="1">
        <v>72</v>
      </c>
      <c r="J76" s="2">
        <v>1435.81</v>
      </c>
      <c r="K76" s="2">
        <v>1435.812066</v>
      </c>
      <c r="L76" s="2">
        <v>1028.04</v>
      </c>
      <c r="M76" s="2">
        <v>1028.04</v>
      </c>
      <c r="N76" s="1" t="s">
        <v>45</v>
      </c>
      <c r="O76" s="2">
        <v>1.3966499999999999</v>
      </c>
      <c r="P76" s="3">
        <f t="shared" si="2"/>
        <v>1028.04</v>
      </c>
      <c r="Q76" s="3" t="str">
        <f t="shared" si="3"/>
        <v>29083319741028.04</v>
      </c>
      <c r="R76" t="s">
        <v>91</v>
      </c>
      <c r="S76" t="s">
        <v>60</v>
      </c>
      <c r="T76" t="s">
        <v>102</v>
      </c>
      <c r="AB76" t="s">
        <v>85</v>
      </c>
    </row>
    <row r="77" spans="1:28" hidden="1">
      <c r="A77" t="s">
        <v>29</v>
      </c>
      <c r="B77" s="1" t="s">
        <v>332</v>
      </c>
      <c r="C77" s="1" t="s">
        <v>69</v>
      </c>
      <c r="D77" s="1" t="s">
        <v>338</v>
      </c>
      <c r="E77" s="1" t="s">
        <v>334</v>
      </c>
      <c r="F77" s="1" t="s">
        <v>335</v>
      </c>
      <c r="G77" s="1" t="s">
        <v>339</v>
      </c>
      <c r="H77" s="1" t="s">
        <v>337</v>
      </c>
      <c r="I77" s="1">
        <v>72</v>
      </c>
      <c r="J77" s="2">
        <v>2466.04</v>
      </c>
      <c r="K77" s="2">
        <v>2466.0369719999999</v>
      </c>
      <c r="L77" s="2">
        <v>1765.68</v>
      </c>
      <c r="M77" s="2">
        <v>1765.68</v>
      </c>
      <c r="N77" s="1" t="s">
        <v>45</v>
      </c>
      <c r="O77" s="2">
        <v>1.3966499999999999</v>
      </c>
      <c r="P77" s="3">
        <f t="shared" si="2"/>
        <v>1765.68</v>
      </c>
      <c r="Q77" s="3" t="str">
        <f t="shared" si="3"/>
        <v>29083327851765.68</v>
      </c>
      <c r="R77" t="s">
        <v>91</v>
      </c>
      <c r="S77" t="s">
        <v>60</v>
      </c>
      <c r="T77" t="s">
        <v>102</v>
      </c>
      <c r="AB77" t="s">
        <v>85</v>
      </c>
    </row>
    <row r="78" spans="1:28" hidden="1">
      <c r="A78" t="s">
        <v>29</v>
      </c>
      <c r="B78" s="1" t="s">
        <v>332</v>
      </c>
      <c r="C78" s="1" t="s">
        <v>69</v>
      </c>
      <c r="D78" s="1" t="s">
        <v>340</v>
      </c>
      <c r="E78" s="1" t="s">
        <v>334</v>
      </c>
      <c r="F78" s="1" t="s">
        <v>335</v>
      </c>
      <c r="G78" s="1" t="s">
        <v>339</v>
      </c>
      <c r="H78" s="1" t="s">
        <v>337</v>
      </c>
      <c r="I78" s="1">
        <v>72</v>
      </c>
      <c r="J78" s="2">
        <v>6306</v>
      </c>
      <c r="K78" s="2">
        <v>6306.0004484999999</v>
      </c>
      <c r="L78" s="2">
        <v>4515.09</v>
      </c>
      <c r="M78" s="2">
        <v>4515.09</v>
      </c>
      <c r="N78" s="1" t="s">
        <v>45</v>
      </c>
      <c r="O78" s="2">
        <v>1.3966499999999999</v>
      </c>
      <c r="P78" s="3">
        <f t="shared" si="2"/>
        <v>4515.09</v>
      </c>
      <c r="Q78" s="3" t="str">
        <f t="shared" si="3"/>
        <v>29083335884515.09</v>
      </c>
      <c r="R78" t="s">
        <v>91</v>
      </c>
      <c r="S78" t="s">
        <v>60</v>
      </c>
      <c r="T78" t="s">
        <v>102</v>
      </c>
      <c r="AB78" t="s">
        <v>85</v>
      </c>
    </row>
    <row r="79" spans="1:28" hidden="1">
      <c r="A79" t="s">
        <v>29</v>
      </c>
      <c r="B79" s="1" t="s">
        <v>337</v>
      </c>
      <c r="C79" s="1" t="s">
        <v>69</v>
      </c>
      <c r="D79" s="1" t="s">
        <v>341</v>
      </c>
      <c r="E79" s="1" t="s">
        <v>328</v>
      </c>
      <c r="F79" s="1" t="s">
        <v>329</v>
      </c>
      <c r="G79" s="1" t="s">
        <v>342</v>
      </c>
      <c r="H79" s="1" t="s">
        <v>337</v>
      </c>
      <c r="I79" s="1">
        <v>72</v>
      </c>
      <c r="J79" s="2">
        <v>5525.7</v>
      </c>
      <c r="K79" s="2">
        <v>5525.7</v>
      </c>
      <c r="L79" s="2">
        <v>5525.7</v>
      </c>
      <c r="M79" s="2">
        <v>5525.7</v>
      </c>
      <c r="N79" s="1" t="s">
        <v>36</v>
      </c>
      <c r="O79" s="2">
        <v>1</v>
      </c>
      <c r="P79" s="3">
        <f t="shared" si="2"/>
        <v>4144.2749999999996</v>
      </c>
      <c r="Q79" s="3" t="str">
        <f t="shared" si="3"/>
        <v>51775525.7</v>
      </c>
      <c r="R79" t="s">
        <v>343</v>
      </c>
      <c r="AB79" t="s">
        <v>85</v>
      </c>
    </row>
    <row r="80" spans="1:28" hidden="1">
      <c r="A80" t="s">
        <v>29</v>
      </c>
      <c r="B80" s="1" t="s">
        <v>337</v>
      </c>
      <c r="C80" s="1" t="s">
        <v>69</v>
      </c>
      <c r="D80" s="1" t="s">
        <v>344</v>
      </c>
      <c r="E80" s="1" t="s">
        <v>345</v>
      </c>
      <c r="F80" s="1" t="s">
        <v>346</v>
      </c>
      <c r="G80" s="1" t="s">
        <v>347</v>
      </c>
      <c r="H80" s="1" t="s">
        <v>337</v>
      </c>
      <c r="I80" s="1">
        <v>72</v>
      </c>
      <c r="J80" s="2">
        <v>20790</v>
      </c>
      <c r="K80" s="2">
        <v>20790</v>
      </c>
      <c r="L80" s="2">
        <v>20790</v>
      </c>
      <c r="M80" s="2">
        <v>20790</v>
      </c>
      <c r="N80" s="1" t="s">
        <v>36</v>
      </c>
      <c r="O80" s="2">
        <v>1</v>
      </c>
      <c r="P80" s="3">
        <f t="shared" si="2"/>
        <v>15592.5</v>
      </c>
      <c r="Q80" s="3" t="str">
        <f t="shared" si="3"/>
        <v>8788320790</v>
      </c>
      <c r="R80" t="s">
        <v>202</v>
      </c>
      <c r="S80" t="s">
        <v>60</v>
      </c>
      <c r="T80" t="s">
        <v>102</v>
      </c>
      <c r="AB80" t="s">
        <v>85</v>
      </c>
    </row>
    <row r="81" spans="1:28" hidden="1">
      <c r="A81" t="s">
        <v>29</v>
      </c>
      <c r="B81" s="1" t="s">
        <v>194</v>
      </c>
      <c r="C81" s="1" t="s">
        <v>69</v>
      </c>
      <c r="D81" s="1" t="s">
        <v>348</v>
      </c>
      <c r="E81" s="1" t="s">
        <v>334</v>
      </c>
      <c r="F81" s="1" t="s">
        <v>335</v>
      </c>
      <c r="G81" s="1" t="s">
        <v>336</v>
      </c>
      <c r="H81" s="1" t="s">
        <v>349</v>
      </c>
      <c r="I81" s="1">
        <v>71</v>
      </c>
      <c r="J81" s="2">
        <v>8110.63</v>
      </c>
      <c r="K81" s="2">
        <v>8110.6258799999996</v>
      </c>
      <c r="L81" s="2">
        <v>5807.2</v>
      </c>
      <c r="M81" s="2">
        <v>5807.2</v>
      </c>
      <c r="N81" s="1" t="s">
        <v>45</v>
      </c>
      <c r="O81" s="2">
        <v>1.3966499999999999</v>
      </c>
      <c r="P81" s="3">
        <f t="shared" si="2"/>
        <v>5807.2</v>
      </c>
      <c r="Q81" s="3" t="str">
        <f t="shared" si="3"/>
        <v>29083347295807.2</v>
      </c>
      <c r="R81" t="s">
        <v>91</v>
      </c>
      <c r="S81" t="s">
        <v>60</v>
      </c>
      <c r="T81" t="s">
        <v>102</v>
      </c>
      <c r="AB81" t="s">
        <v>85</v>
      </c>
    </row>
    <row r="82" spans="1:28" hidden="1">
      <c r="A82" t="s">
        <v>29</v>
      </c>
      <c r="B82" s="1" t="s">
        <v>194</v>
      </c>
      <c r="C82" s="1" t="s">
        <v>69</v>
      </c>
      <c r="D82" s="1" t="s">
        <v>350</v>
      </c>
      <c r="E82" s="1" t="s">
        <v>334</v>
      </c>
      <c r="F82" s="1" t="s">
        <v>335</v>
      </c>
      <c r="G82" s="1" t="s">
        <v>336</v>
      </c>
      <c r="H82" s="1" t="s">
        <v>349</v>
      </c>
      <c r="I82" s="1">
        <v>71</v>
      </c>
      <c r="J82" s="2">
        <v>8410.51</v>
      </c>
      <c r="K82" s="2">
        <v>8410.5145680000005</v>
      </c>
      <c r="L82" s="2">
        <v>6021.92</v>
      </c>
      <c r="M82" s="2">
        <v>6021.92</v>
      </c>
      <c r="N82" s="1" t="s">
        <v>45</v>
      </c>
      <c r="O82" s="2">
        <v>1.3966499999999999</v>
      </c>
      <c r="P82" s="3">
        <f t="shared" si="2"/>
        <v>6021.92</v>
      </c>
      <c r="Q82" s="3" t="str">
        <f t="shared" si="3"/>
        <v>29083354356021.92</v>
      </c>
      <c r="R82" t="s">
        <v>91</v>
      </c>
      <c r="S82" t="s">
        <v>60</v>
      </c>
      <c r="T82" t="s">
        <v>102</v>
      </c>
      <c r="AB82" t="s">
        <v>85</v>
      </c>
    </row>
    <row r="83" spans="1:28" hidden="1">
      <c r="A83" t="s">
        <v>29</v>
      </c>
      <c r="B83" s="1" t="s">
        <v>351</v>
      </c>
      <c r="C83" s="1" t="s">
        <v>69</v>
      </c>
      <c r="D83" s="1" t="s">
        <v>352</v>
      </c>
      <c r="E83" s="1" t="s">
        <v>283</v>
      </c>
      <c r="F83" s="1" t="s">
        <v>283</v>
      </c>
      <c r="G83" s="1" t="s">
        <v>353</v>
      </c>
      <c r="H83" s="1" t="s">
        <v>354</v>
      </c>
      <c r="I83" s="1">
        <v>70</v>
      </c>
      <c r="J83" s="2">
        <v>14903.95</v>
      </c>
      <c r="K83" s="2">
        <v>14903.95</v>
      </c>
      <c r="L83" s="2">
        <v>14903.95</v>
      </c>
      <c r="M83" s="2">
        <v>14903.95</v>
      </c>
      <c r="N83" s="1" t="s">
        <v>36</v>
      </c>
      <c r="O83" s="2">
        <v>1</v>
      </c>
      <c r="P83" s="3">
        <f t="shared" si="2"/>
        <v>11177.962500000001</v>
      </c>
      <c r="Q83" s="3" t="str">
        <f t="shared" si="3"/>
        <v>1000925000903114903.95</v>
      </c>
      <c r="R83" t="s">
        <v>285</v>
      </c>
      <c r="AB83" t="s">
        <v>85</v>
      </c>
    </row>
    <row r="84" spans="1:28" hidden="1">
      <c r="A84" t="s">
        <v>29</v>
      </c>
      <c r="B84" s="1" t="s">
        <v>351</v>
      </c>
      <c r="C84" s="1" t="s">
        <v>69</v>
      </c>
      <c r="D84" s="1" t="s">
        <v>355</v>
      </c>
      <c r="E84" s="1" t="s">
        <v>334</v>
      </c>
      <c r="F84" s="1" t="s">
        <v>335</v>
      </c>
      <c r="G84" s="1" t="s">
        <v>356</v>
      </c>
      <c r="H84" s="1" t="s">
        <v>354</v>
      </c>
      <c r="I84" s="1">
        <v>70</v>
      </c>
      <c r="J84" s="2">
        <v>4046.44</v>
      </c>
      <c r="K84" s="2">
        <v>4046.4389222499999</v>
      </c>
      <c r="L84" s="2">
        <v>2900.75</v>
      </c>
      <c r="M84" s="2">
        <v>2900.75</v>
      </c>
      <c r="N84" s="1" t="s">
        <v>45</v>
      </c>
      <c r="O84" s="2">
        <v>1.394963</v>
      </c>
      <c r="P84" s="3">
        <f t="shared" si="2"/>
        <v>2900.75</v>
      </c>
      <c r="Q84" s="3" t="str">
        <f t="shared" si="3"/>
        <v>29083368352900.75</v>
      </c>
      <c r="R84" t="s">
        <v>91</v>
      </c>
      <c r="S84" t="s">
        <v>60</v>
      </c>
      <c r="T84" t="s">
        <v>102</v>
      </c>
      <c r="AB84" t="s">
        <v>85</v>
      </c>
    </row>
    <row r="85" spans="1:28" hidden="1">
      <c r="A85" t="s">
        <v>29</v>
      </c>
      <c r="B85" s="1" t="s">
        <v>351</v>
      </c>
      <c r="C85" s="1" t="s">
        <v>69</v>
      </c>
      <c r="D85" s="1" t="s">
        <v>357</v>
      </c>
      <c r="E85" s="1" t="s">
        <v>334</v>
      </c>
      <c r="F85" s="1" t="s">
        <v>335</v>
      </c>
      <c r="G85" s="1" t="s">
        <v>358</v>
      </c>
      <c r="H85" s="1" t="s">
        <v>354</v>
      </c>
      <c r="I85" s="1">
        <v>70</v>
      </c>
      <c r="J85" s="2">
        <v>1382.52</v>
      </c>
      <c r="K85" s="2">
        <v>1382.51993004</v>
      </c>
      <c r="L85" s="2">
        <v>991.08</v>
      </c>
      <c r="M85" s="2">
        <v>991.08</v>
      </c>
      <c r="N85" s="1" t="s">
        <v>45</v>
      </c>
      <c r="O85" s="2">
        <v>1.394963</v>
      </c>
      <c r="P85" s="3">
        <f t="shared" si="2"/>
        <v>991.08</v>
      </c>
      <c r="Q85" s="3" t="str">
        <f t="shared" si="3"/>
        <v>2908336554991.08</v>
      </c>
      <c r="R85" t="s">
        <v>91</v>
      </c>
      <c r="S85" t="s">
        <v>60</v>
      </c>
      <c r="T85" t="s">
        <v>102</v>
      </c>
      <c r="AB85" t="s">
        <v>85</v>
      </c>
    </row>
    <row r="86" spans="1:28" hidden="1">
      <c r="A86" t="s">
        <v>29</v>
      </c>
      <c r="B86" s="1" t="s">
        <v>354</v>
      </c>
      <c r="C86" s="1" t="s">
        <v>69</v>
      </c>
      <c r="D86" s="1" t="s">
        <v>359</v>
      </c>
      <c r="E86" s="1" t="s">
        <v>142</v>
      </c>
      <c r="F86" s="1" t="s">
        <v>143</v>
      </c>
      <c r="G86" s="1" t="s">
        <v>360</v>
      </c>
      <c r="H86" s="1" t="s">
        <v>354</v>
      </c>
      <c r="I86" s="1">
        <v>70</v>
      </c>
      <c r="J86" s="2">
        <v>5671.71</v>
      </c>
      <c r="K86" s="2">
        <v>5671.7052370000001</v>
      </c>
      <c r="L86" s="2">
        <v>4019</v>
      </c>
      <c r="M86" s="2">
        <v>4019</v>
      </c>
      <c r="N86" s="1" t="s">
        <v>45</v>
      </c>
      <c r="O86" s="2">
        <v>1.4112229999999999</v>
      </c>
      <c r="P86" s="3">
        <f t="shared" si="2"/>
        <v>4019</v>
      </c>
      <c r="Q86" s="3" t="str">
        <f t="shared" si="3"/>
        <v>09321749824019</v>
      </c>
      <c r="AB86" t="s">
        <v>85</v>
      </c>
    </row>
    <row r="87" spans="1:28" hidden="1">
      <c r="A87" t="s">
        <v>29</v>
      </c>
      <c r="B87" s="1" t="s">
        <v>361</v>
      </c>
      <c r="C87" s="1" t="s">
        <v>69</v>
      </c>
      <c r="D87" s="1" t="s">
        <v>362</v>
      </c>
      <c r="E87" s="1" t="s">
        <v>65</v>
      </c>
      <c r="F87" s="1" t="s">
        <v>54</v>
      </c>
      <c r="G87" s="1" t="s">
        <v>363</v>
      </c>
      <c r="H87" s="1" t="s">
        <v>364</v>
      </c>
      <c r="I87" s="1">
        <v>69</v>
      </c>
      <c r="J87" s="2">
        <v>38.17</v>
      </c>
      <c r="K87" s="2">
        <v>38.17</v>
      </c>
      <c r="L87" s="2">
        <v>38.17</v>
      </c>
      <c r="M87" s="2">
        <v>38.17</v>
      </c>
      <c r="N87" s="1" t="s">
        <v>36</v>
      </c>
      <c r="O87" s="2">
        <v>1</v>
      </c>
      <c r="P87" s="3">
        <f t="shared" si="2"/>
        <v>28.627500000000001</v>
      </c>
      <c r="Q87" s="3" t="str">
        <f t="shared" si="3"/>
        <v>11686189138.17</v>
      </c>
      <c r="R87" t="s">
        <v>59</v>
      </c>
      <c r="S87" t="s">
        <v>60</v>
      </c>
      <c r="AB87" t="s">
        <v>85</v>
      </c>
    </row>
    <row r="88" spans="1:28" hidden="1">
      <c r="A88" t="s">
        <v>29</v>
      </c>
      <c r="B88" s="1" t="s">
        <v>361</v>
      </c>
      <c r="C88" s="1" t="s">
        <v>69</v>
      </c>
      <c r="D88" s="1" t="s">
        <v>365</v>
      </c>
      <c r="E88" s="1" t="s">
        <v>71</v>
      </c>
      <c r="F88" s="1" t="s">
        <v>72</v>
      </c>
      <c r="G88" s="1" t="s">
        <v>366</v>
      </c>
      <c r="H88" s="1" t="s">
        <v>364</v>
      </c>
      <c r="I88" s="1">
        <v>69</v>
      </c>
      <c r="J88" s="2">
        <v>1590758.11</v>
      </c>
      <c r="K88" s="2">
        <v>1590758.1085049999</v>
      </c>
      <c r="L88" s="2">
        <v>1140565.5</v>
      </c>
      <c r="M88" s="2">
        <v>1140565.5</v>
      </c>
      <c r="N88" s="1" t="s">
        <v>45</v>
      </c>
      <c r="O88" s="2">
        <v>1.3947099999999999</v>
      </c>
      <c r="P88" s="3">
        <f t="shared" si="2"/>
        <v>1140565.5</v>
      </c>
      <c r="Q88" s="3" t="str">
        <f t="shared" si="3"/>
        <v>919090911140565.5</v>
      </c>
      <c r="AB88" t="s">
        <v>85</v>
      </c>
    </row>
    <row r="89" spans="1:28" hidden="1">
      <c r="A89" t="s">
        <v>29</v>
      </c>
      <c r="B89" s="1" t="s">
        <v>361</v>
      </c>
      <c r="C89" s="1" t="s">
        <v>69</v>
      </c>
      <c r="D89" s="1" t="s">
        <v>367</v>
      </c>
      <c r="E89" s="1" t="s">
        <v>334</v>
      </c>
      <c r="F89" s="1" t="s">
        <v>335</v>
      </c>
      <c r="G89" s="1" t="s">
        <v>336</v>
      </c>
      <c r="H89" s="1" t="s">
        <v>364</v>
      </c>
      <c r="I89" s="1">
        <v>69</v>
      </c>
      <c r="J89" s="2">
        <v>2234.1</v>
      </c>
      <c r="K89" s="2">
        <v>2234.1022664000002</v>
      </c>
      <c r="L89" s="2">
        <v>1601.84</v>
      </c>
      <c r="M89" s="2">
        <v>1601.84</v>
      </c>
      <c r="N89" s="1" t="s">
        <v>45</v>
      </c>
      <c r="O89" s="2">
        <v>1.3947099999999999</v>
      </c>
      <c r="P89" s="3">
        <f t="shared" si="2"/>
        <v>1601.84</v>
      </c>
      <c r="Q89" s="3" t="str">
        <f t="shared" si="3"/>
        <v>29083295191601.84</v>
      </c>
      <c r="R89" t="s">
        <v>91</v>
      </c>
      <c r="S89" t="s">
        <v>60</v>
      </c>
      <c r="T89" t="s">
        <v>102</v>
      </c>
      <c r="AB89" t="s">
        <v>85</v>
      </c>
    </row>
    <row r="90" spans="1:28" hidden="1">
      <c r="A90" t="s">
        <v>29</v>
      </c>
      <c r="B90" s="1" t="s">
        <v>361</v>
      </c>
      <c r="C90" s="1" t="s">
        <v>69</v>
      </c>
      <c r="D90" s="1" t="s">
        <v>368</v>
      </c>
      <c r="E90" s="1" t="s">
        <v>334</v>
      </c>
      <c r="F90" s="1" t="s">
        <v>335</v>
      </c>
      <c r="G90" s="1" t="s">
        <v>369</v>
      </c>
      <c r="H90" s="1" t="s">
        <v>364</v>
      </c>
      <c r="I90" s="1">
        <v>69</v>
      </c>
      <c r="J90" s="2">
        <v>216.74</v>
      </c>
      <c r="K90" s="2">
        <v>216.737934</v>
      </c>
      <c r="L90" s="2">
        <v>155.4</v>
      </c>
      <c r="M90" s="2">
        <v>155.4</v>
      </c>
      <c r="N90" s="1" t="s">
        <v>45</v>
      </c>
      <c r="O90" s="2">
        <v>1.3947099999999999</v>
      </c>
      <c r="P90" s="3">
        <f t="shared" si="2"/>
        <v>155.4</v>
      </c>
      <c r="Q90" s="3" t="str">
        <f t="shared" si="3"/>
        <v>2908338274155.4</v>
      </c>
      <c r="R90" t="s">
        <v>91</v>
      </c>
      <c r="S90" t="s">
        <v>60</v>
      </c>
      <c r="T90" t="s">
        <v>102</v>
      </c>
      <c r="AB90" t="s">
        <v>85</v>
      </c>
    </row>
    <row r="91" spans="1:28" hidden="1">
      <c r="A91" t="s">
        <v>29</v>
      </c>
      <c r="B91" s="1" t="s">
        <v>361</v>
      </c>
      <c r="C91" s="1" t="s">
        <v>69</v>
      </c>
      <c r="D91" s="1" t="s">
        <v>370</v>
      </c>
      <c r="E91" s="1" t="s">
        <v>334</v>
      </c>
      <c r="F91" s="1" t="s">
        <v>335</v>
      </c>
      <c r="G91" s="1" t="s">
        <v>369</v>
      </c>
      <c r="H91" s="1" t="s">
        <v>364</v>
      </c>
      <c r="I91" s="1">
        <v>69</v>
      </c>
      <c r="J91" s="2">
        <v>333.45</v>
      </c>
      <c r="K91" s="2">
        <v>333.44726680000002</v>
      </c>
      <c r="L91" s="2">
        <v>239.08</v>
      </c>
      <c r="M91" s="2">
        <v>239.08</v>
      </c>
      <c r="N91" s="1" t="s">
        <v>45</v>
      </c>
      <c r="O91" s="2">
        <v>1.3947099999999999</v>
      </c>
      <c r="P91" s="3">
        <f t="shared" si="2"/>
        <v>239.08</v>
      </c>
      <c r="Q91" s="3" t="str">
        <f t="shared" si="3"/>
        <v>2908338966239.08</v>
      </c>
      <c r="R91" t="s">
        <v>91</v>
      </c>
      <c r="S91" t="s">
        <v>60</v>
      </c>
      <c r="T91" t="s">
        <v>102</v>
      </c>
      <c r="AB91" t="s">
        <v>85</v>
      </c>
    </row>
    <row r="92" spans="1:28" hidden="1">
      <c r="A92" t="s">
        <v>29</v>
      </c>
      <c r="B92" s="1" t="s">
        <v>371</v>
      </c>
      <c r="C92" s="1" t="s">
        <v>69</v>
      </c>
      <c r="D92" s="1" t="s">
        <v>372</v>
      </c>
      <c r="E92" s="1" t="s">
        <v>71</v>
      </c>
      <c r="F92" s="1" t="s">
        <v>72</v>
      </c>
      <c r="G92" s="1" t="s">
        <v>373</v>
      </c>
      <c r="H92" s="1" t="s">
        <v>374</v>
      </c>
      <c r="I92" s="1">
        <v>68</v>
      </c>
      <c r="J92" s="2">
        <v>2008023.71</v>
      </c>
      <c r="K92" s="2">
        <v>2008023.70929108</v>
      </c>
      <c r="L92" s="2">
        <v>1438136.31</v>
      </c>
      <c r="M92" s="2">
        <v>1438136.31</v>
      </c>
      <c r="N92" s="1" t="s">
        <v>45</v>
      </c>
      <c r="O92" s="2">
        <v>1.3962680000000001</v>
      </c>
      <c r="P92" s="3">
        <f t="shared" si="2"/>
        <v>1438136.31</v>
      </c>
      <c r="Q92" s="3" t="str">
        <f t="shared" si="3"/>
        <v>919091111438136.31</v>
      </c>
      <c r="AB92" t="s">
        <v>85</v>
      </c>
    </row>
    <row r="93" spans="1:28" hidden="1">
      <c r="A93" t="s">
        <v>29</v>
      </c>
      <c r="B93" s="1" t="s">
        <v>371</v>
      </c>
      <c r="C93" s="1" t="s">
        <v>69</v>
      </c>
      <c r="D93" s="1" t="s">
        <v>375</v>
      </c>
      <c r="E93" s="1" t="s">
        <v>142</v>
      </c>
      <c r="F93" s="1" t="s">
        <v>143</v>
      </c>
      <c r="G93" s="1" t="s">
        <v>376</v>
      </c>
      <c r="H93" s="1" t="s">
        <v>374</v>
      </c>
      <c r="I93" s="1">
        <v>68</v>
      </c>
      <c r="J93" s="2">
        <v>767.25</v>
      </c>
      <c r="K93" s="2">
        <v>767.24926600000003</v>
      </c>
      <c r="L93" s="2">
        <v>549.5</v>
      </c>
      <c r="M93" s="2">
        <v>549.5</v>
      </c>
      <c r="N93" s="1" t="s">
        <v>45</v>
      </c>
      <c r="O93" s="2">
        <v>1.3962680000000001</v>
      </c>
      <c r="P93" s="3">
        <f t="shared" si="2"/>
        <v>549.5</v>
      </c>
      <c r="Q93" s="3" t="str">
        <f t="shared" si="3"/>
        <v>0932159660549.5</v>
      </c>
      <c r="AB93" t="s">
        <v>85</v>
      </c>
    </row>
    <row r="94" spans="1:28" hidden="1">
      <c r="A94" t="s">
        <v>29</v>
      </c>
      <c r="B94" s="1" t="s">
        <v>371</v>
      </c>
      <c r="C94" s="1" t="s">
        <v>69</v>
      </c>
      <c r="D94" s="1" t="s">
        <v>377</v>
      </c>
      <c r="E94" s="1" t="s">
        <v>218</v>
      </c>
      <c r="F94" s="1" t="s">
        <v>58</v>
      </c>
      <c r="G94" s="1" t="s">
        <v>378</v>
      </c>
      <c r="H94" s="1" t="s">
        <v>374</v>
      </c>
      <c r="I94" s="1">
        <v>68</v>
      </c>
      <c r="J94" s="2">
        <v>22516</v>
      </c>
      <c r="K94" s="2">
        <v>22516</v>
      </c>
      <c r="L94" s="2">
        <v>22516</v>
      </c>
      <c r="M94" s="2">
        <v>22516</v>
      </c>
      <c r="N94" s="1" t="s">
        <v>36</v>
      </c>
      <c r="O94" s="2">
        <v>1</v>
      </c>
      <c r="P94" s="3">
        <f t="shared" si="2"/>
        <v>16887</v>
      </c>
      <c r="Q94" s="3" t="str">
        <f t="shared" si="3"/>
        <v>IN06251007022122516</v>
      </c>
      <c r="R94" t="s">
        <v>37</v>
      </c>
      <c r="S94" t="s">
        <v>60</v>
      </c>
      <c r="T94" t="s">
        <v>102</v>
      </c>
      <c r="AB94" t="s">
        <v>85</v>
      </c>
    </row>
    <row r="95" spans="1:28" hidden="1">
      <c r="A95" t="s">
        <v>29</v>
      </c>
      <c r="B95" s="1" t="s">
        <v>374</v>
      </c>
      <c r="C95" s="1" t="s">
        <v>69</v>
      </c>
      <c r="D95" s="1" t="s">
        <v>379</v>
      </c>
      <c r="E95" s="1" t="s">
        <v>380</v>
      </c>
      <c r="F95" s="1" t="s">
        <v>381</v>
      </c>
      <c r="G95" s="1" t="s">
        <v>382</v>
      </c>
      <c r="H95" s="1" t="s">
        <v>374</v>
      </c>
      <c r="I95" s="1">
        <v>68</v>
      </c>
      <c r="J95" s="2">
        <v>20212.8</v>
      </c>
      <c r="K95" s="2">
        <v>20212.8</v>
      </c>
      <c r="L95" s="2">
        <v>20212.8</v>
      </c>
      <c r="M95" s="2">
        <v>20212.8</v>
      </c>
      <c r="N95" s="1" t="s">
        <v>36</v>
      </c>
      <c r="O95" s="2">
        <v>1</v>
      </c>
      <c r="P95" s="3">
        <f t="shared" si="2"/>
        <v>15159.599999999999</v>
      </c>
      <c r="Q95" s="3" t="str">
        <f t="shared" si="3"/>
        <v>2975220212.8</v>
      </c>
      <c r="R95" t="s">
        <v>383</v>
      </c>
      <c r="AB95" t="s">
        <v>85</v>
      </c>
    </row>
    <row r="96" spans="1:28" hidden="1">
      <c r="A96" t="s">
        <v>29</v>
      </c>
      <c r="B96" s="1" t="s">
        <v>374</v>
      </c>
      <c r="C96" s="1" t="s">
        <v>69</v>
      </c>
      <c r="D96" s="1" t="s">
        <v>384</v>
      </c>
      <c r="E96" s="1" t="s">
        <v>385</v>
      </c>
      <c r="F96" s="1" t="s">
        <v>386</v>
      </c>
      <c r="G96" s="1" t="s">
        <v>387</v>
      </c>
      <c r="H96" s="1" t="s">
        <v>374</v>
      </c>
      <c r="I96" s="1">
        <v>68</v>
      </c>
      <c r="J96" s="2">
        <v>32114.65</v>
      </c>
      <c r="K96" s="2">
        <v>32114.647888949999</v>
      </c>
      <c r="L96" s="2">
        <v>22736.05</v>
      </c>
      <c r="M96" s="2">
        <v>22736.05</v>
      </c>
      <c r="N96" s="1" t="s">
        <v>45</v>
      </c>
      <c r="O96" s="2">
        <v>1.4124989999999999</v>
      </c>
      <c r="P96" s="3">
        <f t="shared" si="2"/>
        <v>22736.05</v>
      </c>
      <c r="Q96" s="3" t="str">
        <f t="shared" si="3"/>
        <v>000086902522736.05</v>
      </c>
      <c r="R96" t="s">
        <v>74</v>
      </c>
      <c r="S96" t="s">
        <v>60</v>
      </c>
      <c r="T96" t="s">
        <v>102</v>
      </c>
      <c r="AB96" t="s">
        <v>85</v>
      </c>
    </row>
    <row r="97" spans="1:29" hidden="1">
      <c r="A97" t="s">
        <v>29</v>
      </c>
      <c r="B97" s="1" t="s">
        <v>371</v>
      </c>
      <c r="C97" s="1" t="s">
        <v>69</v>
      </c>
      <c r="D97" s="1" t="s">
        <v>388</v>
      </c>
      <c r="E97" s="1" t="s">
        <v>334</v>
      </c>
      <c r="F97" s="1" t="s">
        <v>335</v>
      </c>
      <c r="G97" s="1" t="s">
        <v>389</v>
      </c>
      <c r="H97" s="1" t="s">
        <v>390</v>
      </c>
      <c r="I97" s="1">
        <v>67</v>
      </c>
      <c r="J97" s="2">
        <v>598.73</v>
      </c>
      <c r="K97" s="2">
        <v>598.73368108</v>
      </c>
      <c r="L97" s="2">
        <v>428.81</v>
      </c>
      <c r="M97" s="2">
        <v>428.81</v>
      </c>
      <c r="N97" s="1" t="s">
        <v>45</v>
      </c>
      <c r="O97" s="2">
        <v>1.3962680000000001</v>
      </c>
      <c r="P97" s="3">
        <f t="shared" si="2"/>
        <v>428.81</v>
      </c>
      <c r="Q97" s="3" t="str">
        <f t="shared" si="3"/>
        <v>2908341555428.81</v>
      </c>
      <c r="R97" t="s">
        <v>91</v>
      </c>
      <c r="S97" t="s">
        <v>60</v>
      </c>
      <c r="T97" t="s">
        <v>102</v>
      </c>
      <c r="AB97" t="s">
        <v>85</v>
      </c>
    </row>
    <row r="98" spans="1:29" hidden="1">
      <c r="A98" t="s">
        <v>29</v>
      </c>
      <c r="B98" s="1" t="s">
        <v>197</v>
      </c>
      <c r="C98" s="1" t="s">
        <v>69</v>
      </c>
      <c r="D98" s="1" t="s">
        <v>391</v>
      </c>
      <c r="E98" s="1" t="s">
        <v>392</v>
      </c>
      <c r="F98" s="1" t="s">
        <v>393</v>
      </c>
      <c r="G98" s="1" t="s">
        <v>394</v>
      </c>
      <c r="H98" s="1" t="s">
        <v>390</v>
      </c>
      <c r="I98" s="1">
        <v>67</v>
      </c>
      <c r="J98" s="2">
        <v>19888</v>
      </c>
      <c r="K98" s="2">
        <v>19888</v>
      </c>
      <c r="L98" s="2">
        <v>19888</v>
      </c>
      <c r="M98" s="2">
        <v>19888</v>
      </c>
      <c r="N98" s="1" t="s">
        <v>36</v>
      </c>
      <c r="O98" s="2">
        <v>1</v>
      </c>
      <c r="P98" s="3">
        <f t="shared" si="2"/>
        <v>14916</v>
      </c>
      <c r="Q98" s="3" t="str">
        <f t="shared" si="3"/>
        <v>000206119888</v>
      </c>
      <c r="R98" t="s">
        <v>395</v>
      </c>
      <c r="S98" t="s">
        <v>396</v>
      </c>
      <c r="T98" t="s">
        <v>102</v>
      </c>
      <c r="AB98" t="s">
        <v>85</v>
      </c>
    </row>
    <row r="99" spans="1:29" hidden="1">
      <c r="A99" t="s">
        <v>29</v>
      </c>
      <c r="B99" s="1" t="s">
        <v>197</v>
      </c>
      <c r="C99" s="1" t="s">
        <v>69</v>
      </c>
      <c r="D99" s="1" t="s">
        <v>397</v>
      </c>
      <c r="E99" s="1" t="s">
        <v>392</v>
      </c>
      <c r="F99" s="1" t="s">
        <v>393</v>
      </c>
      <c r="G99" s="1" t="s">
        <v>398</v>
      </c>
      <c r="H99" s="1" t="s">
        <v>390</v>
      </c>
      <c r="I99" s="1">
        <v>67</v>
      </c>
      <c r="J99" s="2">
        <v>19888</v>
      </c>
      <c r="K99" s="2">
        <v>19888</v>
      </c>
      <c r="L99" s="2">
        <v>19888</v>
      </c>
      <c r="M99" s="2">
        <v>19888</v>
      </c>
      <c r="N99" s="1" t="s">
        <v>36</v>
      </c>
      <c r="O99" s="2">
        <v>1</v>
      </c>
      <c r="P99" s="3">
        <f t="shared" si="2"/>
        <v>14916</v>
      </c>
      <c r="Q99" s="3" t="str">
        <f t="shared" si="3"/>
        <v>000205919888</v>
      </c>
      <c r="R99" t="s">
        <v>399</v>
      </c>
      <c r="AB99" t="s">
        <v>85</v>
      </c>
    </row>
    <row r="100" spans="1:29" hidden="1">
      <c r="A100" t="s">
        <v>29</v>
      </c>
      <c r="B100" s="1" t="s">
        <v>197</v>
      </c>
      <c r="C100" s="1" t="s">
        <v>69</v>
      </c>
      <c r="D100" s="1" t="s">
        <v>400</v>
      </c>
      <c r="E100" s="1" t="s">
        <v>392</v>
      </c>
      <c r="F100" s="1" t="s">
        <v>393</v>
      </c>
      <c r="G100" s="1" t="s">
        <v>401</v>
      </c>
      <c r="H100" s="1" t="s">
        <v>390</v>
      </c>
      <c r="I100" s="1">
        <v>67</v>
      </c>
      <c r="J100" s="2">
        <v>16272</v>
      </c>
      <c r="K100" s="2">
        <v>16272</v>
      </c>
      <c r="L100" s="2">
        <v>16272</v>
      </c>
      <c r="M100" s="2">
        <v>16272</v>
      </c>
      <c r="N100" s="1" t="s">
        <v>36</v>
      </c>
      <c r="O100" s="2">
        <v>1</v>
      </c>
      <c r="P100" s="3">
        <f t="shared" si="2"/>
        <v>12204</v>
      </c>
      <c r="Q100" s="3" t="str">
        <f t="shared" si="3"/>
        <v>000206016272</v>
      </c>
      <c r="R100" t="s">
        <v>166</v>
      </c>
      <c r="AB100" t="s">
        <v>85</v>
      </c>
    </row>
    <row r="101" spans="1:29" hidden="1">
      <c r="A101" t="s">
        <v>29</v>
      </c>
      <c r="B101" s="1" t="s">
        <v>197</v>
      </c>
      <c r="C101" s="1" t="s">
        <v>69</v>
      </c>
      <c r="D101" s="1" t="s">
        <v>402</v>
      </c>
      <c r="E101" s="1" t="s">
        <v>392</v>
      </c>
      <c r="F101" s="1" t="s">
        <v>393</v>
      </c>
      <c r="G101" s="1" t="s">
        <v>403</v>
      </c>
      <c r="H101" s="1" t="s">
        <v>390</v>
      </c>
      <c r="I101" s="1">
        <v>67</v>
      </c>
      <c r="J101" s="2">
        <v>16272</v>
      </c>
      <c r="K101" s="2">
        <v>16272</v>
      </c>
      <c r="L101" s="2">
        <v>16272</v>
      </c>
      <c r="M101" s="2">
        <v>16272</v>
      </c>
      <c r="N101" s="1" t="s">
        <v>36</v>
      </c>
      <c r="O101" s="2">
        <v>1</v>
      </c>
      <c r="P101" s="3">
        <f t="shared" si="2"/>
        <v>12204</v>
      </c>
      <c r="Q101" s="3" t="str">
        <f t="shared" si="3"/>
        <v>000206316272</v>
      </c>
      <c r="R101" t="s">
        <v>395</v>
      </c>
      <c r="S101" t="s">
        <v>396</v>
      </c>
      <c r="T101" t="s">
        <v>102</v>
      </c>
      <c r="AB101" t="s">
        <v>85</v>
      </c>
    </row>
    <row r="102" spans="1:29" hidden="1">
      <c r="A102" t="s">
        <v>29</v>
      </c>
      <c r="B102" s="1" t="s">
        <v>390</v>
      </c>
      <c r="C102" s="1" t="s">
        <v>69</v>
      </c>
      <c r="D102" s="1" t="s">
        <v>404</v>
      </c>
      <c r="E102" s="1" t="s">
        <v>405</v>
      </c>
      <c r="F102" s="1" t="s">
        <v>405</v>
      </c>
      <c r="G102" s="1" t="s">
        <v>406</v>
      </c>
      <c r="H102" s="1" t="s">
        <v>390</v>
      </c>
      <c r="I102" s="1">
        <v>67</v>
      </c>
      <c r="J102" s="2">
        <v>873.47</v>
      </c>
      <c r="K102" s="2">
        <v>873.47</v>
      </c>
      <c r="L102" s="2">
        <v>873.47</v>
      </c>
      <c r="M102" s="2">
        <v>873.47</v>
      </c>
      <c r="N102" s="1" t="s">
        <v>36</v>
      </c>
      <c r="O102" s="2">
        <v>1</v>
      </c>
      <c r="P102" s="3">
        <f t="shared" si="2"/>
        <v>655.10249999999996</v>
      </c>
      <c r="Q102" s="3" t="str">
        <f t="shared" si="3"/>
        <v>17103425873.47</v>
      </c>
      <c r="R102" t="s">
        <v>82</v>
      </c>
      <c r="AB102" t="s">
        <v>85</v>
      </c>
    </row>
    <row r="103" spans="1:29" hidden="1">
      <c r="A103" t="s">
        <v>29</v>
      </c>
      <c r="B103" s="1" t="s">
        <v>197</v>
      </c>
      <c r="C103" s="1" t="s">
        <v>69</v>
      </c>
      <c r="D103" s="1" t="s">
        <v>407</v>
      </c>
      <c r="E103" s="1" t="s">
        <v>88</v>
      </c>
      <c r="F103" s="1" t="s">
        <v>89</v>
      </c>
      <c r="G103" s="1" t="s">
        <v>408</v>
      </c>
      <c r="H103" s="1" t="s">
        <v>409</v>
      </c>
      <c r="I103" s="1">
        <v>66</v>
      </c>
      <c r="J103" s="2">
        <v>19514.38</v>
      </c>
      <c r="K103" s="2">
        <v>19514.376</v>
      </c>
      <c r="L103" s="2">
        <v>14000</v>
      </c>
      <c r="M103" s="2">
        <v>14000</v>
      </c>
      <c r="N103" s="1" t="s">
        <v>45</v>
      </c>
      <c r="O103" s="2">
        <v>1.3938839999999999</v>
      </c>
      <c r="P103" s="3">
        <f t="shared" si="2"/>
        <v>14000</v>
      </c>
      <c r="Q103" s="3" t="str">
        <f t="shared" si="3"/>
        <v>10995614000</v>
      </c>
      <c r="R103" t="s">
        <v>91</v>
      </c>
      <c r="S103" t="s">
        <v>60</v>
      </c>
      <c r="T103" t="s">
        <v>102</v>
      </c>
      <c r="AB103" t="s">
        <v>85</v>
      </c>
    </row>
    <row r="104" spans="1:29" hidden="1">
      <c r="A104" t="s">
        <v>29</v>
      </c>
      <c r="B104" s="1" t="s">
        <v>197</v>
      </c>
      <c r="C104" s="1" t="s">
        <v>69</v>
      </c>
      <c r="D104" s="1" t="s">
        <v>410</v>
      </c>
      <c r="E104" s="1" t="s">
        <v>334</v>
      </c>
      <c r="F104" s="1" t="s">
        <v>335</v>
      </c>
      <c r="G104" s="1" t="s">
        <v>369</v>
      </c>
      <c r="H104" s="1" t="s">
        <v>409</v>
      </c>
      <c r="I104" s="1">
        <v>66</v>
      </c>
      <c r="J104" s="2">
        <v>216.61</v>
      </c>
      <c r="K104" s="2">
        <v>216.6095736</v>
      </c>
      <c r="L104" s="2">
        <v>155.4</v>
      </c>
      <c r="M104" s="2">
        <v>155.4</v>
      </c>
      <c r="N104" s="1" t="s">
        <v>45</v>
      </c>
      <c r="O104" s="2">
        <v>1.3938839999999999</v>
      </c>
      <c r="P104" s="3">
        <f t="shared" si="2"/>
        <v>155.4</v>
      </c>
      <c r="Q104" s="3" t="str">
        <f t="shared" si="3"/>
        <v>2908343081155.4</v>
      </c>
      <c r="R104" t="s">
        <v>91</v>
      </c>
      <c r="S104" t="s">
        <v>60</v>
      </c>
      <c r="T104" t="s">
        <v>102</v>
      </c>
      <c r="AB104" t="s">
        <v>85</v>
      </c>
    </row>
    <row r="105" spans="1:29" hidden="1">
      <c r="A105" t="s">
        <v>29</v>
      </c>
      <c r="B105" s="1" t="s">
        <v>206</v>
      </c>
      <c r="C105" s="1" t="s">
        <v>69</v>
      </c>
      <c r="D105" s="1" t="s">
        <v>411</v>
      </c>
      <c r="E105" s="1" t="s">
        <v>334</v>
      </c>
      <c r="F105" s="1" t="s">
        <v>335</v>
      </c>
      <c r="G105" s="1" t="s">
        <v>412</v>
      </c>
      <c r="H105" s="1" t="s">
        <v>409</v>
      </c>
      <c r="I105" s="1">
        <v>66</v>
      </c>
      <c r="J105" s="2">
        <v>1809.49</v>
      </c>
      <c r="K105" s="2">
        <v>1809.4882825499999</v>
      </c>
      <c r="L105" s="2">
        <v>1291.03</v>
      </c>
      <c r="M105" s="2">
        <v>1291.03</v>
      </c>
      <c r="N105" s="1" t="s">
        <v>45</v>
      </c>
      <c r="O105" s="2">
        <v>1.4015850000000001</v>
      </c>
      <c r="P105" s="3">
        <f t="shared" si="2"/>
        <v>1291.03</v>
      </c>
      <c r="Q105" s="3" t="str">
        <f t="shared" si="3"/>
        <v>29083454251291.03</v>
      </c>
      <c r="R105" t="s">
        <v>91</v>
      </c>
      <c r="S105" t="s">
        <v>60</v>
      </c>
      <c r="T105" t="s">
        <v>102</v>
      </c>
      <c r="AB105" t="s">
        <v>85</v>
      </c>
    </row>
    <row r="106" spans="1:29" hidden="1">
      <c r="A106" t="s">
        <v>29</v>
      </c>
      <c r="B106" s="1" t="s">
        <v>206</v>
      </c>
      <c r="C106" s="1" t="s">
        <v>69</v>
      </c>
      <c r="D106" s="1" t="s">
        <v>32</v>
      </c>
      <c r="E106" s="1" t="s">
        <v>334</v>
      </c>
      <c r="F106" s="1" t="s">
        <v>335</v>
      </c>
      <c r="G106" s="1" t="s">
        <v>412</v>
      </c>
      <c r="H106" s="1" t="s">
        <v>409</v>
      </c>
      <c r="I106" s="1">
        <v>66</v>
      </c>
      <c r="J106" s="2">
        <v>1809.49</v>
      </c>
      <c r="K106" s="2">
        <v>1809.4882825499999</v>
      </c>
      <c r="L106" s="2">
        <v>1291.03</v>
      </c>
      <c r="M106" s="2">
        <v>1291.03</v>
      </c>
      <c r="N106" s="1" t="s">
        <v>45</v>
      </c>
      <c r="O106" s="2">
        <v>1.4015850000000001</v>
      </c>
      <c r="P106" s="3">
        <f t="shared" si="2"/>
        <v>1291.03</v>
      </c>
      <c r="Q106" s="3" t="str">
        <f t="shared" si="3"/>
        <v>1291.03</v>
      </c>
      <c r="R106" t="s">
        <v>91</v>
      </c>
      <c r="S106" t="s">
        <v>60</v>
      </c>
      <c r="T106" t="s">
        <v>102</v>
      </c>
      <c r="AB106" t="s">
        <v>85</v>
      </c>
    </row>
    <row r="107" spans="1:29" hidden="1">
      <c r="A107" t="s">
        <v>29</v>
      </c>
      <c r="B107" s="1" t="s">
        <v>206</v>
      </c>
      <c r="C107" s="1" t="s">
        <v>69</v>
      </c>
      <c r="D107" s="1" t="s">
        <v>413</v>
      </c>
      <c r="E107" s="1" t="s">
        <v>414</v>
      </c>
      <c r="F107" s="1" t="s">
        <v>415</v>
      </c>
      <c r="G107" s="1" t="s">
        <v>416</v>
      </c>
      <c r="H107" s="1" t="s">
        <v>409</v>
      </c>
      <c r="I107" s="1">
        <v>66</v>
      </c>
      <c r="J107" s="2">
        <v>20914.04</v>
      </c>
      <c r="K107" s="2">
        <v>20914.04</v>
      </c>
      <c r="L107" s="2">
        <v>20914.04</v>
      </c>
      <c r="M107" s="2">
        <v>20914.04</v>
      </c>
      <c r="N107" s="1" t="s">
        <v>36</v>
      </c>
      <c r="O107" s="2">
        <v>1</v>
      </c>
      <c r="P107" s="3">
        <f t="shared" si="2"/>
        <v>15685.53</v>
      </c>
      <c r="Q107" s="3" t="str">
        <f t="shared" si="3"/>
        <v>CA01408921320914.04</v>
      </c>
      <c r="R107" t="s">
        <v>202</v>
      </c>
      <c r="S107" t="s">
        <v>60</v>
      </c>
      <c r="AB107" t="s">
        <v>85</v>
      </c>
      <c r="AC107" t="s">
        <v>417</v>
      </c>
    </row>
    <row r="108" spans="1:29" hidden="1">
      <c r="A108" t="s">
        <v>29</v>
      </c>
      <c r="B108" s="1" t="s">
        <v>213</v>
      </c>
      <c r="C108" s="1" t="s">
        <v>69</v>
      </c>
      <c r="D108" s="1" t="s">
        <v>418</v>
      </c>
      <c r="E108" s="1" t="s">
        <v>334</v>
      </c>
      <c r="F108" s="1" t="s">
        <v>335</v>
      </c>
      <c r="G108" s="1" t="s">
        <v>419</v>
      </c>
      <c r="H108" s="1" t="s">
        <v>420</v>
      </c>
      <c r="I108" s="1">
        <v>65</v>
      </c>
      <c r="J108" s="2">
        <v>33980.839999999997</v>
      </c>
      <c r="K108" s="2">
        <v>33980.843999999997</v>
      </c>
      <c r="L108" s="2">
        <v>24240</v>
      </c>
      <c r="M108" s="2">
        <v>24240</v>
      </c>
      <c r="N108" s="1" t="s">
        <v>45</v>
      </c>
      <c r="O108" s="2">
        <v>1.40185</v>
      </c>
      <c r="P108" s="3">
        <f t="shared" si="2"/>
        <v>24240</v>
      </c>
      <c r="Q108" s="3" t="str">
        <f t="shared" si="3"/>
        <v>190962498624240</v>
      </c>
      <c r="R108" t="s">
        <v>91</v>
      </c>
      <c r="S108" t="s">
        <v>60</v>
      </c>
      <c r="T108" t="s">
        <v>102</v>
      </c>
      <c r="AB108" t="s">
        <v>85</v>
      </c>
    </row>
    <row r="109" spans="1:29" hidden="1">
      <c r="A109" t="s">
        <v>29</v>
      </c>
      <c r="B109" s="1" t="s">
        <v>213</v>
      </c>
      <c r="C109" s="1" t="s">
        <v>69</v>
      </c>
      <c r="D109" s="1" t="s">
        <v>421</v>
      </c>
      <c r="E109" s="1" t="s">
        <v>334</v>
      </c>
      <c r="F109" s="1" t="s">
        <v>335</v>
      </c>
      <c r="G109" s="1" t="s">
        <v>419</v>
      </c>
      <c r="H109" s="1" t="s">
        <v>420</v>
      </c>
      <c r="I109" s="1">
        <v>65</v>
      </c>
      <c r="J109" s="2">
        <v>37457.43</v>
      </c>
      <c r="K109" s="2">
        <v>37457.432000000001</v>
      </c>
      <c r="L109" s="2">
        <v>26720</v>
      </c>
      <c r="M109" s="2">
        <v>26720</v>
      </c>
      <c r="N109" s="1" t="s">
        <v>45</v>
      </c>
      <c r="O109" s="2">
        <v>1.40185</v>
      </c>
      <c r="P109" s="3">
        <f t="shared" si="2"/>
        <v>26720</v>
      </c>
      <c r="Q109" s="3" t="str">
        <f t="shared" si="3"/>
        <v>190962536026720</v>
      </c>
      <c r="R109" t="s">
        <v>91</v>
      </c>
      <c r="S109" t="s">
        <v>60</v>
      </c>
      <c r="T109" t="s">
        <v>102</v>
      </c>
      <c r="AB109" t="s">
        <v>85</v>
      </c>
    </row>
    <row r="110" spans="1:29" hidden="1">
      <c r="A110" t="s">
        <v>29</v>
      </c>
      <c r="B110" s="1" t="s">
        <v>213</v>
      </c>
      <c r="C110" s="1" t="s">
        <v>69</v>
      </c>
      <c r="D110" s="1" t="s">
        <v>422</v>
      </c>
      <c r="E110" s="1" t="s">
        <v>334</v>
      </c>
      <c r="F110" s="1" t="s">
        <v>335</v>
      </c>
      <c r="G110" s="1" t="s">
        <v>423</v>
      </c>
      <c r="H110" s="1" t="s">
        <v>420</v>
      </c>
      <c r="I110" s="1">
        <v>65</v>
      </c>
      <c r="J110" s="2">
        <v>137.86000000000001</v>
      </c>
      <c r="K110" s="2">
        <v>137.85792900000001</v>
      </c>
      <c r="L110" s="2">
        <v>98.34</v>
      </c>
      <c r="M110" s="2">
        <v>98.34</v>
      </c>
      <c r="N110" s="1" t="s">
        <v>45</v>
      </c>
      <c r="O110" s="2">
        <v>1.40185</v>
      </c>
      <c r="P110" s="3">
        <f t="shared" si="2"/>
        <v>98.34</v>
      </c>
      <c r="Q110" s="3" t="str">
        <f t="shared" si="3"/>
        <v>290834821498.34</v>
      </c>
      <c r="R110" t="s">
        <v>91</v>
      </c>
      <c r="S110" t="s">
        <v>60</v>
      </c>
      <c r="T110" t="s">
        <v>102</v>
      </c>
      <c r="AB110" t="s">
        <v>85</v>
      </c>
    </row>
    <row r="111" spans="1:29" hidden="1">
      <c r="A111" t="s">
        <v>29</v>
      </c>
      <c r="B111" s="1" t="s">
        <v>424</v>
      </c>
      <c r="C111" s="1" t="s">
        <v>69</v>
      </c>
      <c r="D111" s="1" t="s">
        <v>425</v>
      </c>
      <c r="E111" s="1" t="s">
        <v>334</v>
      </c>
      <c r="F111" s="1" t="s">
        <v>335</v>
      </c>
      <c r="G111" s="1" t="s">
        <v>412</v>
      </c>
      <c r="H111" s="1" t="s">
        <v>426</v>
      </c>
      <c r="I111" s="1">
        <v>64</v>
      </c>
      <c r="J111" s="2">
        <v>2765.02</v>
      </c>
      <c r="K111" s="2">
        <v>2765.0229585000002</v>
      </c>
      <c r="L111" s="2">
        <v>1972.41</v>
      </c>
      <c r="M111" s="2">
        <v>1972.41</v>
      </c>
      <c r="N111" s="1" t="s">
        <v>45</v>
      </c>
      <c r="O111" s="2">
        <v>1.40185</v>
      </c>
      <c r="P111" s="3">
        <f t="shared" si="2"/>
        <v>1972.41</v>
      </c>
      <c r="Q111" s="3" t="str">
        <f t="shared" si="3"/>
        <v>29083492891972.41</v>
      </c>
      <c r="R111" t="s">
        <v>91</v>
      </c>
      <c r="S111" t="s">
        <v>60</v>
      </c>
      <c r="T111" t="s">
        <v>102</v>
      </c>
      <c r="AB111" t="s">
        <v>32</v>
      </c>
    </row>
    <row r="112" spans="1:29" hidden="1">
      <c r="A112" t="s">
        <v>29</v>
      </c>
      <c r="B112" s="1" t="s">
        <v>424</v>
      </c>
      <c r="C112" s="1" t="s">
        <v>69</v>
      </c>
      <c r="D112" s="1" t="s">
        <v>427</v>
      </c>
      <c r="E112" s="1" t="s">
        <v>334</v>
      </c>
      <c r="F112" s="1" t="s">
        <v>335</v>
      </c>
      <c r="G112" s="1" t="s">
        <v>428</v>
      </c>
      <c r="H112" s="1" t="s">
        <v>426</v>
      </c>
      <c r="I112" s="1">
        <v>64</v>
      </c>
      <c r="J112" s="2">
        <v>7195.81</v>
      </c>
      <c r="K112" s="2">
        <v>7195.8081979999997</v>
      </c>
      <c r="L112" s="2">
        <v>5133.08</v>
      </c>
      <c r="M112" s="2">
        <v>5133.08</v>
      </c>
      <c r="N112" s="1" t="s">
        <v>45</v>
      </c>
      <c r="O112" s="2">
        <v>1.40185</v>
      </c>
      <c r="P112" s="3">
        <f t="shared" si="2"/>
        <v>5133.08</v>
      </c>
      <c r="Q112" s="3" t="str">
        <f t="shared" si="3"/>
        <v>29083507115133.08</v>
      </c>
      <c r="R112" t="s">
        <v>91</v>
      </c>
      <c r="S112" t="s">
        <v>60</v>
      </c>
      <c r="T112" t="s">
        <v>102</v>
      </c>
      <c r="AB112" t="s">
        <v>32</v>
      </c>
    </row>
    <row r="113" spans="1:28" hidden="1">
      <c r="A113" t="s">
        <v>29</v>
      </c>
      <c r="B113" s="1" t="s">
        <v>349</v>
      </c>
      <c r="C113" s="1" t="s">
        <v>69</v>
      </c>
      <c r="D113" s="1" t="s">
        <v>429</v>
      </c>
      <c r="E113" s="1" t="s">
        <v>380</v>
      </c>
      <c r="F113" s="1" t="s">
        <v>381</v>
      </c>
      <c r="G113" s="1" t="s">
        <v>430</v>
      </c>
      <c r="H113" s="1" t="s">
        <v>426</v>
      </c>
      <c r="I113" s="1">
        <v>64</v>
      </c>
      <c r="J113" s="2">
        <v>38206.67</v>
      </c>
      <c r="K113" s="2">
        <v>38206.67</v>
      </c>
      <c r="L113" s="2">
        <v>38206.67</v>
      </c>
      <c r="M113" s="2">
        <v>38206.67</v>
      </c>
      <c r="N113" s="1" t="s">
        <v>36</v>
      </c>
      <c r="O113" s="2">
        <v>1</v>
      </c>
      <c r="P113" s="3">
        <f t="shared" si="2"/>
        <v>28655.002499999999</v>
      </c>
      <c r="Q113" s="3" t="str">
        <f t="shared" si="3"/>
        <v>2969838206.67</v>
      </c>
      <c r="R113" t="s">
        <v>37</v>
      </c>
      <c r="S113" t="s">
        <v>60</v>
      </c>
      <c r="T113" t="s">
        <v>102</v>
      </c>
      <c r="AB113" t="s">
        <v>32</v>
      </c>
    </row>
    <row r="114" spans="1:28" hidden="1">
      <c r="A114" t="s">
        <v>29</v>
      </c>
      <c r="B114" s="1" t="s">
        <v>426</v>
      </c>
      <c r="C114" s="1" t="s">
        <v>69</v>
      </c>
      <c r="D114" s="1" t="s">
        <v>431</v>
      </c>
      <c r="E114" s="1" t="s">
        <v>432</v>
      </c>
      <c r="F114" s="1" t="s">
        <v>433</v>
      </c>
      <c r="G114" s="1" t="s">
        <v>434</v>
      </c>
      <c r="H114" s="1" t="s">
        <v>426</v>
      </c>
      <c r="I114" s="1">
        <v>64</v>
      </c>
      <c r="J114" s="2">
        <v>15156.94</v>
      </c>
      <c r="K114" s="2">
        <v>15156.936</v>
      </c>
      <c r="L114" s="2">
        <v>10800</v>
      </c>
      <c r="M114" s="2">
        <v>10800</v>
      </c>
      <c r="N114" s="1" t="s">
        <v>45</v>
      </c>
      <c r="O114" s="2">
        <v>1.4034199999999999</v>
      </c>
      <c r="P114" s="3">
        <f t="shared" si="2"/>
        <v>10800</v>
      </c>
      <c r="Q114" s="3" t="str">
        <f t="shared" si="3"/>
        <v>IST202511003010800</v>
      </c>
      <c r="S114" t="s">
        <v>75</v>
      </c>
      <c r="AB114" t="s">
        <v>32</v>
      </c>
    </row>
    <row r="115" spans="1:28" hidden="1">
      <c r="A115" t="s">
        <v>29</v>
      </c>
      <c r="B115" s="1" t="s">
        <v>426</v>
      </c>
      <c r="C115" s="1" t="s">
        <v>69</v>
      </c>
      <c r="D115" s="1" t="s">
        <v>435</v>
      </c>
      <c r="E115" s="1" t="s">
        <v>432</v>
      </c>
      <c r="F115" s="1" t="s">
        <v>433</v>
      </c>
      <c r="G115" s="1" t="s">
        <v>436</v>
      </c>
      <c r="H115" s="1" t="s">
        <v>426</v>
      </c>
      <c r="I115" s="1">
        <v>64</v>
      </c>
      <c r="J115" s="2">
        <v>43681.45</v>
      </c>
      <c r="K115" s="2">
        <v>43681.447500000002</v>
      </c>
      <c r="L115" s="2">
        <v>31125</v>
      </c>
      <c r="M115" s="2">
        <v>31125</v>
      </c>
      <c r="N115" s="1" t="s">
        <v>45</v>
      </c>
      <c r="O115" s="2">
        <v>1.4034199999999999</v>
      </c>
      <c r="P115" s="3">
        <f t="shared" si="2"/>
        <v>31125</v>
      </c>
      <c r="Q115" s="3" t="str">
        <f t="shared" si="3"/>
        <v>IST202511003131125</v>
      </c>
      <c r="R115" t="s">
        <v>74</v>
      </c>
      <c r="AB115" t="s">
        <v>32</v>
      </c>
    </row>
    <row r="116" spans="1:28" hidden="1">
      <c r="A116" t="s">
        <v>29</v>
      </c>
      <c r="B116" s="1" t="s">
        <v>437</v>
      </c>
      <c r="C116" s="1" t="s">
        <v>69</v>
      </c>
      <c r="D116" s="1" t="s">
        <v>438</v>
      </c>
      <c r="E116" s="1" t="s">
        <v>334</v>
      </c>
      <c r="F116" s="1" t="s">
        <v>335</v>
      </c>
      <c r="G116" s="1" t="s">
        <v>428</v>
      </c>
      <c r="H116" s="1" t="s">
        <v>439</v>
      </c>
      <c r="I116" s="1">
        <v>63</v>
      </c>
      <c r="J116" s="2">
        <v>6583.4</v>
      </c>
      <c r="K116" s="2">
        <v>6583.4047643100002</v>
      </c>
      <c r="L116" s="2">
        <v>4704.2700000000004</v>
      </c>
      <c r="M116" s="2">
        <v>4704.2700000000004</v>
      </c>
      <c r="N116" s="1" t="s">
        <v>45</v>
      </c>
      <c r="O116" s="2">
        <v>1.3994530000000001</v>
      </c>
      <c r="P116" s="3">
        <f t="shared" si="2"/>
        <v>4704.2700000000004</v>
      </c>
      <c r="Q116" s="3" t="str">
        <f t="shared" si="3"/>
        <v>29083512544704.27</v>
      </c>
      <c r="R116" t="s">
        <v>91</v>
      </c>
      <c r="S116" t="s">
        <v>60</v>
      </c>
      <c r="T116" t="s">
        <v>102</v>
      </c>
      <c r="AB116" t="s">
        <v>440</v>
      </c>
    </row>
    <row r="117" spans="1:28" hidden="1">
      <c r="A117" t="s">
        <v>29</v>
      </c>
      <c r="B117" s="1" t="s">
        <v>437</v>
      </c>
      <c r="C117" s="1" t="s">
        <v>69</v>
      </c>
      <c r="D117" s="1" t="s">
        <v>441</v>
      </c>
      <c r="E117" s="1" t="s">
        <v>334</v>
      </c>
      <c r="F117" s="1" t="s">
        <v>335</v>
      </c>
      <c r="G117" s="1" t="s">
        <v>428</v>
      </c>
      <c r="H117" s="1" t="s">
        <v>439</v>
      </c>
      <c r="I117" s="1">
        <v>63</v>
      </c>
      <c r="J117" s="2">
        <v>4218.32</v>
      </c>
      <c r="K117" s="2">
        <v>4218.3151997799996</v>
      </c>
      <c r="L117" s="2">
        <v>3014.26</v>
      </c>
      <c r="M117" s="2">
        <v>3014.26</v>
      </c>
      <c r="N117" s="1" t="s">
        <v>45</v>
      </c>
      <c r="O117" s="2">
        <v>1.3994530000000001</v>
      </c>
      <c r="P117" s="3">
        <f t="shared" si="2"/>
        <v>3014.26</v>
      </c>
      <c r="Q117" s="3" t="str">
        <f t="shared" si="3"/>
        <v>29083515843014.26</v>
      </c>
      <c r="R117" t="s">
        <v>91</v>
      </c>
      <c r="S117" t="s">
        <v>60</v>
      </c>
      <c r="T117" t="s">
        <v>102</v>
      </c>
      <c r="AB117" t="s">
        <v>440</v>
      </c>
    </row>
    <row r="118" spans="1:28" hidden="1">
      <c r="A118" t="s">
        <v>29</v>
      </c>
      <c r="B118" s="1" t="s">
        <v>442</v>
      </c>
      <c r="C118" s="1" t="s">
        <v>69</v>
      </c>
      <c r="D118" s="1" t="s">
        <v>443</v>
      </c>
      <c r="E118" s="1" t="s">
        <v>334</v>
      </c>
      <c r="F118" s="1" t="s">
        <v>335</v>
      </c>
      <c r="G118" s="1" t="s">
        <v>412</v>
      </c>
      <c r="H118" s="1" t="s">
        <v>444</v>
      </c>
      <c r="I118" s="1">
        <v>62</v>
      </c>
      <c r="J118" s="2">
        <v>2047.58</v>
      </c>
      <c r="K118" s="2">
        <v>2047.5810183900001</v>
      </c>
      <c r="L118" s="2">
        <v>1458.39</v>
      </c>
      <c r="M118" s="2">
        <v>1458.39</v>
      </c>
      <c r="N118" s="1" t="s">
        <v>45</v>
      </c>
      <c r="O118" s="2">
        <v>1.4040010000000001</v>
      </c>
      <c r="P118" s="3">
        <f t="shared" si="2"/>
        <v>1458.39</v>
      </c>
      <c r="Q118" s="3" t="str">
        <f t="shared" si="3"/>
        <v>29083532171458.39</v>
      </c>
      <c r="R118" t="s">
        <v>91</v>
      </c>
      <c r="S118" t="s">
        <v>60</v>
      </c>
      <c r="T118" t="s">
        <v>102</v>
      </c>
      <c r="AB118" t="s">
        <v>445</v>
      </c>
    </row>
    <row r="119" spans="1:28" hidden="1">
      <c r="A119" t="s">
        <v>29</v>
      </c>
      <c r="B119" s="1" t="s">
        <v>442</v>
      </c>
      <c r="C119" s="1" t="s">
        <v>69</v>
      </c>
      <c r="D119" s="1" t="s">
        <v>446</v>
      </c>
      <c r="E119" s="1" t="s">
        <v>334</v>
      </c>
      <c r="F119" s="1" t="s">
        <v>335</v>
      </c>
      <c r="G119" s="1" t="s">
        <v>423</v>
      </c>
      <c r="H119" s="1" t="s">
        <v>444</v>
      </c>
      <c r="I119" s="1">
        <v>62</v>
      </c>
      <c r="J119" s="2">
        <v>6903.47</v>
      </c>
      <c r="K119" s="2">
        <v>6903.4729170000001</v>
      </c>
      <c r="L119" s="2">
        <v>4917</v>
      </c>
      <c r="M119" s="2">
        <v>4917</v>
      </c>
      <c r="N119" s="1" t="s">
        <v>45</v>
      </c>
      <c r="O119" s="2">
        <v>1.4040010000000001</v>
      </c>
      <c r="P119" s="3">
        <f t="shared" si="2"/>
        <v>4917</v>
      </c>
      <c r="Q119" s="3" t="str">
        <f t="shared" si="3"/>
        <v>29083541584917</v>
      </c>
      <c r="R119" t="s">
        <v>91</v>
      </c>
      <c r="S119" t="s">
        <v>60</v>
      </c>
      <c r="T119" t="s">
        <v>102</v>
      </c>
      <c r="AB119" t="s">
        <v>445</v>
      </c>
    </row>
    <row r="120" spans="1:28" hidden="1">
      <c r="A120" t="s">
        <v>29</v>
      </c>
      <c r="B120" s="1" t="s">
        <v>281</v>
      </c>
      <c r="C120" s="1" t="s">
        <v>69</v>
      </c>
      <c r="D120" s="1" t="s">
        <v>447</v>
      </c>
      <c r="E120" s="1" t="s">
        <v>448</v>
      </c>
      <c r="F120" s="1" t="s">
        <v>449</v>
      </c>
      <c r="G120" s="1" t="s">
        <v>450</v>
      </c>
      <c r="H120" s="1" t="s">
        <v>451</v>
      </c>
      <c r="I120" s="1">
        <v>61</v>
      </c>
      <c r="J120" s="2">
        <v>653.98</v>
      </c>
      <c r="K120" s="2">
        <v>653.98092984000004</v>
      </c>
      <c r="L120" s="2">
        <v>469.98</v>
      </c>
      <c r="M120" s="2">
        <v>469.98</v>
      </c>
      <c r="N120" s="1" t="s">
        <v>45</v>
      </c>
      <c r="O120" s="2">
        <v>1.391508</v>
      </c>
      <c r="P120" s="3">
        <f t="shared" si="2"/>
        <v>469.98</v>
      </c>
      <c r="Q120" s="3" t="str">
        <f t="shared" si="3"/>
        <v>2025-A-469469.98</v>
      </c>
      <c r="R120" t="s">
        <v>452</v>
      </c>
    </row>
    <row r="121" spans="1:28" hidden="1">
      <c r="A121" t="s">
        <v>29</v>
      </c>
      <c r="B121" s="1" t="s">
        <v>215</v>
      </c>
      <c r="C121" s="1" t="s">
        <v>69</v>
      </c>
      <c r="D121" s="1" t="s">
        <v>453</v>
      </c>
      <c r="E121" s="1" t="s">
        <v>334</v>
      </c>
      <c r="F121" s="1" t="s">
        <v>335</v>
      </c>
      <c r="G121" s="1" t="s">
        <v>419</v>
      </c>
      <c r="H121" s="1" t="s">
        <v>451</v>
      </c>
      <c r="I121" s="1">
        <v>61</v>
      </c>
      <c r="J121" s="2">
        <v>115374.23</v>
      </c>
      <c r="K121" s="2">
        <v>115374.22547200001</v>
      </c>
      <c r="L121" s="2">
        <v>82192</v>
      </c>
      <c r="M121" s="2">
        <v>82192</v>
      </c>
      <c r="N121" s="1" t="s">
        <v>45</v>
      </c>
      <c r="O121" s="2">
        <v>1.403716</v>
      </c>
      <c r="P121" s="3">
        <f t="shared" si="2"/>
        <v>82192</v>
      </c>
      <c r="Q121" s="3" t="str">
        <f t="shared" si="3"/>
        <v>190963422682192</v>
      </c>
      <c r="R121" t="s">
        <v>91</v>
      </c>
      <c r="S121" t="s">
        <v>60</v>
      </c>
      <c r="T121" t="s">
        <v>102</v>
      </c>
    </row>
    <row r="122" spans="1:28" hidden="1">
      <c r="A122" t="s">
        <v>29</v>
      </c>
      <c r="B122" s="1" t="s">
        <v>215</v>
      </c>
      <c r="C122" s="1" t="s">
        <v>69</v>
      </c>
      <c r="D122" s="1" t="s">
        <v>454</v>
      </c>
      <c r="E122" s="1" t="s">
        <v>334</v>
      </c>
      <c r="F122" s="1" t="s">
        <v>335</v>
      </c>
      <c r="G122" s="1" t="s">
        <v>455</v>
      </c>
      <c r="H122" s="1" t="s">
        <v>451</v>
      </c>
      <c r="I122" s="1">
        <v>61</v>
      </c>
      <c r="J122" s="2">
        <v>2797.18</v>
      </c>
      <c r="K122" s="2">
        <v>2797.1848731999999</v>
      </c>
      <c r="L122" s="2">
        <v>1992.7</v>
      </c>
      <c r="M122" s="2">
        <v>1992.7</v>
      </c>
      <c r="N122" s="1" t="s">
        <v>45</v>
      </c>
      <c r="O122" s="2">
        <v>1.403716</v>
      </c>
      <c r="P122" s="3">
        <f t="shared" si="2"/>
        <v>1992.7</v>
      </c>
      <c r="Q122" s="3" t="str">
        <f t="shared" si="3"/>
        <v>29083555601992.7</v>
      </c>
      <c r="R122" t="s">
        <v>91</v>
      </c>
      <c r="S122" t="s">
        <v>60</v>
      </c>
      <c r="T122" t="s">
        <v>102</v>
      </c>
    </row>
    <row r="123" spans="1:28" hidden="1">
      <c r="A123" t="s">
        <v>29</v>
      </c>
      <c r="B123" s="1" t="s">
        <v>215</v>
      </c>
      <c r="C123" s="1" t="s">
        <v>69</v>
      </c>
      <c r="D123" s="1" t="s">
        <v>456</v>
      </c>
      <c r="E123" s="1" t="s">
        <v>334</v>
      </c>
      <c r="F123" s="1" t="s">
        <v>335</v>
      </c>
      <c r="G123" s="1" t="s">
        <v>455</v>
      </c>
      <c r="H123" s="1" t="s">
        <v>451</v>
      </c>
      <c r="I123" s="1">
        <v>61</v>
      </c>
      <c r="J123" s="2">
        <v>2929.27</v>
      </c>
      <c r="K123" s="2">
        <v>2929.2745488</v>
      </c>
      <c r="L123" s="2">
        <v>2086.8000000000002</v>
      </c>
      <c r="M123" s="2">
        <v>2086.8000000000002</v>
      </c>
      <c r="N123" s="1" t="s">
        <v>45</v>
      </c>
      <c r="O123" s="2">
        <v>1.403716</v>
      </c>
      <c r="P123" s="3">
        <f t="shared" si="2"/>
        <v>2086.8000000000002</v>
      </c>
      <c r="Q123" s="3" t="str">
        <f t="shared" si="3"/>
        <v>29083556662086.8</v>
      </c>
      <c r="R123" t="s">
        <v>91</v>
      </c>
      <c r="S123" t="s">
        <v>60</v>
      </c>
      <c r="T123" t="s">
        <v>102</v>
      </c>
    </row>
    <row r="124" spans="1:28" hidden="1">
      <c r="A124" t="s">
        <v>29</v>
      </c>
      <c r="B124" s="1" t="s">
        <v>215</v>
      </c>
      <c r="C124" s="1" t="s">
        <v>69</v>
      </c>
      <c r="D124" s="1" t="s">
        <v>457</v>
      </c>
      <c r="E124" s="1" t="s">
        <v>334</v>
      </c>
      <c r="F124" s="1" t="s">
        <v>335</v>
      </c>
      <c r="G124" s="1" t="s">
        <v>428</v>
      </c>
      <c r="H124" s="1" t="s">
        <v>451</v>
      </c>
      <c r="I124" s="1">
        <v>61</v>
      </c>
      <c r="J124" s="2">
        <v>17.7</v>
      </c>
      <c r="K124" s="2">
        <v>17.700858759999999</v>
      </c>
      <c r="L124" s="2">
        <v>12.61</v>
      </c>
      <c r="M124" s="2">
        <v>12.61</v>
      </c>
      <c r="N124" s="1" t="s">
        <v>45</v>
      </c>
      <c r="O124" s="2">
        <v>1.403716</v>
      </c>
      <c r="P124" s="3">
        <f t="shared" si="2"/>
        <v>12.61</v>
      </c>
      <c r="Q124" s="3" t="str">
        <f t="shared" si="3"/>
        <v>290835595512.61</v>
      </c>
      <c r="R124" t="s">
        <v>91</v>
      </c>
      <c r="S124" t="s">
        <v>60</v>
      </c>
      <c r="T124" t="s">
        <v>102</v>
      </c>
    </row>
    <row r="125" spans="1:28" hidden="1">
      <c r="A125" t="s">
        <v>29</v>
      </c>
      <c r="B125" s="1" t="s">
        <v>215</v>
      </c>
      <c r="C125" s="1" t="s">
        <v>69</v>
      </c>
      <c r="D125" s="1" t="s">
        <v>458</v>
      </c>
      <c r="E125" s="1" t="s">
        <v>334</v>
      </c>
      <c r="F125" s="1" t="s">
        <v>335</v>
      </c>
      <c r="G125" s="1" t="s">
        <v>423</v>
      </c>
      <c r="H125" s="1" t="s">
        <v>451</v>
      </c>
      <c r="I125" s="1">
        <v>61</v>
      </c>
      <c r="J125" s="2">
        <v>3451.04</v>
      </c>
      <c r="K125" s="2">
        <v>3451.0357859999999</v>
      </c>
      <c r="L125" s="2">
        <v>2458.5</v>
      </c>
      <c r="M125" s="2">
        <v>2458.5</v>
      </c>
      <c r="N125" s="1" t="s">
        <v>45</v>
      </c>
      <c r="O125" s="2">
        <v>1.403716</v>
      </c>
      <c r="P125" s="3">
        <f t="shared" si="2"/>
        <v>2458.5</v>
      </c>
      <c r="Q125" s="3" t="str">
        <f t="shared" si="3"/>
        <v>29083562992458.5</v>
      </c>
      <c r="R125" t="s">
        <v>91</v>
      </c>
      <c r="S125" t="s">
        <v>60</v>
      </c>
      <c r="T125" t="s">
        <v>102</v>
      </c>
    </row>
    <row r="126" spans="1:28" hidden="1">
      <c r="A126" t="s">
        <v>29</v>
      </c>
      <c r="B126" s="1" t="s">
        <v>215</v>
      </c>
      <c r="C126" s="1" t="s">
        <v>69</v>
      </c>
      <c r="D126" s="1" t="s">
        <v>459</v>
      </c>
      <c r="E126" s="1" t="s">
        <v>392</v>
      </c>
      <c r="F126" s="1" t="s">
        <v>393</v>
      </c>
      <c r="G126" s="1" t="s">
        <v>394</v>
      </c>
      <c r="H126" s="1" t="s">
        <v>451</v>
      </c>
      <c r="I126" s="1">
        <v>61</v>
      </c>
      <c r="J126" s="2">
        <v>50963</v>
      </c>
      <c r="K126" s="2">
        <v>50963</v>
      </c>
      <c r="L126" s="2">
        <v>50963</v>
      </c>
      <c r="M126" s="2">
        <v>50963</v>
      </c>
      <c r="N126" s="1" t="s">
        <v>36</v>
      </c>
      <c r="O126" s="2">
        <v>1</v>
      </c>
      <c r="P126" s="3">
        <f t="shared" si="2"/>
        <v>38222.25</v>
      </c>
      <c r="Q126" s="3" t="str">
        <f t="shared" si="3"/>
        <v>000206650963</v>
      </c>
      <c r="R126" t="s">
        <v>395</v>
      </c>
      <c r="S126" t="s">
        <v>396</v>
      </c>
      <c r="T126" t="s">
        <v>102</v>
      </c>
    </row>
    <row r="127" spans="1:28" hidden="1">
      <c r="A127" t="s">
        <v>29</v>
      </c>
      <c r="B127" s="1" t="s">
        <v>374</v>
      </c>
      <c r="C127" s="1" t="s">
        <v>69</v>
      </c>
      <c r="D127" s="1" t="s">
        <v>460</v>
      </c>
      <c r="E127" s="1" t="s">
        <v>380</v>
      </c>
      <c r="F127" s="1" t="s">
        <v>381</v>
      </c>
      <c r="G127" s="1" t="s">
        <v>461</v>
      </c>
      <c r="H127" s="1" t="s">
        <v>451</v>
      </c>
      <c r="I127" s="1">
        <v>61</v>
      </c>
      <c r="J127" s="2">
        <v>22333.32</v>
      </c>
      <c r="K127" s="2">
        <v>22333.32</v>
      </c>
      <c r="L127" s="2">
        <v>22333.32</v>
      </c>
      <c r="M127" s="2">
        <v>22333.32</v>
      </c>
      <c r="N127" s="1" t="s">
        <v>36</v>
      </c>
      <c r="O127" s="2">
        <v>1</v>
      </c>
      <c r="P127" s="3">
        <f t="shared" si="2"/>
        <v>16749.989999999998</v>
      </c>
      <c r="Q127" s="3" t="str">
        <f t="shared" si="3"/>
        <v>2974822333.32</v>
      </c>
      <c r="R127" t="s">
        <v>37</v>
      </c>
      <c r="S127" t="s">
        <v>60</v>
      </c>
    </row>
    <row r="128" spans="1:28" hidden="1">
      <c r="A128" t="s">
        <v>29</v>
      </c>
      <c r="B128" s="1" t="s">
        <v>273</v>
      </c>
      <c r="C128" s="1" t="s">
        <v>217</v>
      </c>
      <c r="D128" s="1" t="s">
        <v>462</v>
      </c>
      <c r="E128" s="1" t="s">
        <v>150</v>
      </c>
      <c r="F128" s="1" t="s">
        <v>151</v>
      </c>
      <c r="G128" s="1" t="s">
        <v>152</v>
      </c>
      <c r="H128" s="1" t="s">
        <v>32</v>
      </c>
      <c r="I128" s="1" t="s">
        <v>32</v>
      </c>
      <c r="J128" s="2">
        <v>-152537.45000000001</v>
      </c>
      <c r="K128" s="2">
        <v>-152537.45000000001</v>
      </c>
      <c r="L128" s="2">
        <v>-152537.45000000001</v>
      </c>
      <c r="M128" s="2">
        <v>-152537.45000000001</v>
      </c>
      <c r="N128" s="1" t="s">
        <v>36</v>
      </c>
      <c r="O128" s="2">
        <v>1</v>
      </c>
      <c r="P128" s="3">
        <f t="shared" si="2"/>
        <v>-114403.08750000001</v>
      </c>
      <c r="Q128" s="3" t="str">
        <f t="shared" si="3"/>
        <v>CCR-054095-152537.45</v>
      </c>
      <c r="R128" t="s">
        <v>59</v>
      </c>
      <c r="S128" t="s">
        <v>155</v>
      </c>
      <c r="T128" t="s">
        <v>102</v>
      </c>
      <c r="AB128" t="s">
        <v>40</v>
      </c>
    </row>
    <row r="129" spans="1:30" hidden="1">
      <c r="A129" t="s">
        <v>29</v>
      </c>
      <c r="B129" s="1" t="s">
        <v>96</v>
      </c>
      <c r="C129" s="1" t="s">
        <v>217</v>
      </c>
      <c r="D129" s="1" t="s">
        <v>463</v>
      </c>
      <c r="E129" s="1" t="s">
        <v>156</v>
      </c>
      <c r="F129" s="1" t="s">
        <v>156</v>
      </c>
      <c r="G129" s="1" t="s">
        <v>464</v>
      </c>
      <c r="H129" s="1" t="s">
        <v>32</v>
      </c>
      <c r="I129" s="1" t="s">
        <v>32</v>
      </c>
      <c r="J129" s="2">
        <v>-752.95</v>
      </c>
      <c r="K129" s="2">
        <v>-752.95</v>
      </c>
      <c r="L129" s="2">
        <v>-752.95</v>
      </c>
      <c r="M129" s="2">
        <v>-752.95</v>
      </c>
      <c r="N129" s="1" t="s">
        <v>36</v>
      </c>
      <c r="O129" s="2">
        <v>1</v>
      </c>
      <c r="P129" s="3">
        <f t="shared" ref="P129:P192" si="4">IF(N129="CAD",$P$1,1)*M129</f>
        <v>-564.71250000000009</v>
      </c>
      <c r="Q129" s="3" t="str">
        <f t="shared" ref="Q129:Q192" si="5">D129&amp;M129</f>
        <v>2-676-41473-752.95</v>
      </c>
      <c r="AB129" t="s">
        <v>40</v>
      </c>
    </row>
    <row r="130" spans="1:30" hidden="1">
      <c r="A130" t="s">
        <v>29</v>
      </c>
      <c r="B130" s="1" t="s">
        <v>96</v>
      </c>
      <c r="C130" s="1" t="s">
        <v>217</v>
      </c>
      <c r="D130" s="1" t="s">
        <v>319</v>
      </c>
      <c r="E130" s="1" t="s">
        <v>150</v>
      </c>
      <c r="F130" s="1" t="s">
        <v>151</v>
      </c>
      <c r="G130" s="1" t="s">
        <v>465</v>
      </c>
      <c r="H130" s="1" t="s">
        <v>32</v>
      </c>
      <c r="I130" s="1" t="s">
        <v>32</v>
      </c>
      <c r="J130" s="2">
        <v>-8892.31</v>
      </c>
      <c r="K130" s="2">
        <v>-8892.31</v>
      </c>
      <c r="L130" s="2">
        <v>-8892.31</v>
      </c>
      <c r="M130" s="2">
        <v>-8892.31</v>
      </c>
      <c r="N130" s="1" t="s">
        <v>36</v>
      </c>
      <c r="O130" s="2">
        <v>1</v>
      </c>
      <c r="P130" s="3">
        <f t="shared" si="4"/>
        <v>-6669.2325000000001</v>
      </c>
      <c r="Q130" s="3" t="str">
        <f t="shared" si="5"/>
        <v>CB00476855-8892.31</v>
      </c>
      <c r="AB130" t="s">
        <v>40</v>
      </c>
    </row>
    <row r="131" spans="1:30" hidden="1">
      <c r="A131" t="s">
        <v>29</v>
      </c>
      <c r="B131" s="1" t="s">
        <v>96</v>
      </c>
      <c r="C131" s="1" t="s">
        <v>217</v>
      </c>
      <c r="D131" s="1" t="s">
        <v>466</v>
      </c>
      <c r="E131" s="1" t="s">
        <v>345</v>
      </c>
      <c r="F131" s="1" t="s">
        <v>346</v>
      </c>
      <c r="G131" s="1" t="s">
        <v>467</v>
      </c>
      <c r="H131" s="1" t="s">
        <v>32</v>
      </c>
      <c r="I131" s="1" t="s">
        <v>32</v>
      </c>
      <c r="J131" s="2">
        <v>-46467</v>
      </c>
      <c r="K131" s="2">
        <v>-46467</v>
      </c>
      <c r="L131" s="2">
        <v>-46467</v>
      </c>
      <c r="M131" s="2">
        <v>-46467</v>
      </c>
      <c r="N131" s="1" t="s">
        <v>36</v>
      </c>
      <c r="O131" s="2">
        <v>1</v>
      </c>
      <c r="P131" s="3">
        <f t="shared" si="4"/>
        <v>-34850.25</v>
      </c>
      <c r="Q131" s="3" t="str">
        <f t="shared" si="5"/>
        <v>88186-46467</v>
      </c>
      <c r="AB131" t="s">
        <v>40</v>
      </c>
    </row>
    <row r="132" spans="1:30" hidden="1">
      <c r="A132" t="s">
        <v>29</v>
      </c>
      <c r="B132" s="1" t="s">
        <v>96</v>
      </c>
      <c r="C132" s="1" t="s">
        <v>217</v>
      </c>
      <c r="D132" s="1" t="s">
        <v>468</v>
      </c>
      <c r="E132" s="1" t="s">
        <v>345</v>
      </c>
      <c r="F132" s="1" t="s">
        <v>346</v>
      </c>
      <c r="G132" s="1" t="s">
        <v>469</v>
      </c>
      <c r="H132" s="1" t="s">
        <v>32</v>
      </c>
      <c r="I132" s="1" t="s">
        <v>32</v>
      </c>
      <c r="J132" s="2">
        <v>-1800</v>
      </c>
      <c r="K132" s="2">
        <v>-1800</v>
      </c>
      <c r="L132" s="2">
        <v>-1800</v>
      </c>
      <c r="M132" s="2">
        <v>-1800</v>
      </c>
      <c r="N132" s="1" t="s">
        <v>36</v>
      </c>
      <c r="O132" s="2">
        <v>1</v>
      </c>
      <c r="P132" s="3">
        <f t="shared" si="4"/>
        <v>-1350</v>
      </c>
      <c r="Q132" s="3" t="str">
        <f t="shared" si="5"/>
        <v>88454-1800</v>
      </c>
      <c r="AB132" t="s">
        <v>40</v>
      </c>
    </row>
    <row r="133" spans="1:30" hidden="1">
      <c r="A133" t="s">
        <v>29</v>
      </c>
      <c r="B133" s="1" t="s">
        <v>173</v>
      </c>
      <c r="C133" s="1" t="s">
        <v>69</v>
      </c>
      <c r="D133" s="1" t="s">
        <v>470</v>
      </c>
      <c r="E133" s="1" t="s">
        <v>471</v>
      </c>
      <c r="F133" s="1" t="s">
        <v>472</v>
      </c>
      <c r="G133" s="1" t="s">
        <v>473</v>
      </c>
      <c r="H133" s="1" t="s">
        <v>474</v>
      </c>
      <c r="I133" s="1">
        <v>60</v>
      </c>
      <c r="J133" s="2">
        <v>42887.24</v>
      </c>
      <c r="K133" s="2">
        <v>42887.24</v>
      </c>
      <c r="L133" s="2">
        <v>42887.24</v>
      </c>
      <c r="M133" s="2">
        <v>42887.24</v>
      </c>
      <c r="N133" s="1" t="s">
        <v>36</v>
      </c>
      <c r="O133" s="2">
        <v>1</v>
      </c>
      <c r="P133" s="3">
        <f t="shared" si="4"/>
        <v>32165.43</v>
      </c>
      <c r="Q133" s="3" t="str">
        <f t="shared" si="5"/>
        <v>D5438242887.24</v>
      </c>
      <c r="R133" t="s">
        <v>475</v>
      </c>
      <c r="S133" t="s">
        <v>60</v>
      </c>
      <c r="T133" t="s">
        <v>102</v>
      </c>
      <c r="AB133" t="e">
        <v>#VALUE!</v>
      </c>
      <c r="AD133" t="s">
        <v>476</v>
      </c>
    </row>
    <row r="134" spans="1:30" hidden="1">
      <c r="A134" t="s">
        <v>29</v>
      </c>
      <c r="B134" s="1" t="s">
        <v>252</v>
      </c>
      <c r="C134" s="1" t="s">
        <v>69</v>
      </c>
      <c r="D134" s="1" t="s">
        <v>477</v>
      </c>
      <c r="E134" s="1" t="s">
        <v>448</v>
      </c>
      <c r="F134" s="1" t="s">
        <v>449</v>
      </c>
      <c r="G134" s="1" t="s">
        <v>478</v>
      </c>
      <c r="H134" s="1" t="s">
        <v>474</v>
      </c>
      <c r="I134" s="1">
        <v>60</v>
      </c>
      <c r="J134" s="2">
        <v>740.78</v>
      </c>
      <c r="K134" s="2">
        <v>740.78241600000001</v>
      </c>
      <c r="L134" s="2">
        <v>528</v>
      </c>
      <c r="M134" s="2">
        <v>528</v>
      </c>
      <c r="N134" s="1" t="s">
        <v>45</v>
      </c>
      <c r="O134" s="2">
        <v>1.402997</v>
      </c>
      <c r="P134" s="3">
        <f t="shared" si="4"/>
        <v>528</v>
      </c>
      <c r="Q134" s="3" t="str">
        <f t="shared" si="5"/>
        <v>91005488528</v>
      </c>
      <c r="R134" t="s">
        <v>452</v>
      </c>
    </row>
    <row r="135" spans="1:30" hidden="1">
      <c r="A135" t="s">
        <v>29</v>
      </c>
      <c r="B135" s="1" t="s">
        <v>252</v>
      </c>
      <c r="C135" s="1" t="s">
        <v>69</v>
      </c>
      <c r="D135" s="1" t="s">
        <v>479</v>
      </c>
      <c r="E135" s="1" t="s">
        <v>480</v>
      </c>
      <c r="F135" s="1" t="s">
        <v>481</v>
      </c>
      <c r="G135" s="1" t="s">
        <v>482</v>
      </c>
      <c r="H135" s="1" t="s">
        <v>474</v>
      </c>
      <c r="I135" s="1">
        <v>60</v>
      </c>
      <c r="J135" s="2">
        <v>23202.06</v>
      </c>
      <c r="K135" s="2">
        <v>23202.0628875</v>
      </c>
      <c r="L135" s="2">
        <v>16537.5</v>
      </c>
      <c r="M135" s="2">
        <v>16537.5</v>
      </c>
      <c r="N135" s="1" t="s">
        <v>45</v>
      </c>
      <c r="O135" s="2">
        <v>1.402997</v>
      </c>
      <c r="P135" s="3">
        <f t="shared" si="4"/>
        <v>16537.5</v>
      </c>
      <c r="Q135" s="3" t="str">
        <f t="shared" si="5"/>
        <v>9188146116537.5</v>
      </c>
      <c r="R135" t="s">
        <v>74</v>
      </c>
      <c r="S135" t="s">
        <v>60</v>
      </c>
      <c r="T135" t="s">
        <v>102</v>
      </c>
    </row>
    <row r="136" spans="1:30" hidden="1">
      <c r="A136" t="s">
        <v>29</v>
      </c>
      <c r="B136" s="1" t="s">
        <v>252</v>
      </c>
      <c r="C136" s="1" t="s">
        <v>69</v>
      </c>
      <c r="D136" s="1" t="s">
        <v>483</v>
      </c>
      <c r="E136" s="1" t="s">
        <v>480</v>
      </c>
      <c r="F136" s="1" t="s">
        <v>481</v>
      </c>
      <c r="G136" s="1" t="s">
        <v>482</v>
      </c>
      <c r="H136" s="1" t="s">
        <v>474</v>
      </c>
      <c r="I136" s="1">
        <v>60</v>
      </c>
      <c r="J136" s="2">
        <v>23202.06</v>
      </c>
      <c r="K136" s="2">
        <v>23202.0628875</v>
      </c>
      <c r="L136" s="2">
        <v>16537.5</v>
      </c>
      <c r="M136" s="2">
        <v>16537.5</v>
      </c>
      <c r="N136" s="1" t="s">
        <v>45</v>
      </c>
      <c r="O136" s="2">
        <v>1.402997</v>
      </c>
      <c r="P136" s="3">
        <f t="shared" si="4"/>
        <v>16537.5</v>
      </c>
      <c r="Q136" s="3" t="str">
        <f t="shared" si="5"/>
        <v>9188146216537.5</v>
      </c>
      <c r="R136" t="s">
        <v>74</v>
      </c>
      <c r="S136" t="s">
        <v>60</v>
      </c>
      <c r="T136" t="s">
        <v>102</v>
      </c>
    </row>
    <row r="137" spans="1:30" hidden="1">
      <c r="A137" t="s">
        <v>29</v>
      </c>
      <c r="B137" s="1" t="s">
        <v>252</v>
      </c>
      <c r="C137" s="1" t="s">
        <v>69</v>
      </c>
      <c r="D137" s="1" t="s">
        <v>466</v>
      </c>
      <c r="E137" s="1" t="s">
        <v>345</v>
      </c>
      <c r="F137" s="1" t="s">
        <v>346</v>
      </c>
      <c r="G137" s="1" t="s">
        <v>347</v>
      </c>
      <c r="H137" s="1" t="s">
        <v>474</v>
      </c>
      <c r="I137" s="1">
        <v>60</v>
      </c>
      <c r="J137" s="2">
        <v>46467</v>
      </c>
      <c r="K137" s="2">
        <v>46467</v>
      </c>
      <c r="L137" s="2">
        <v>46467</v>
      </c>
      <c r="M137" s="2">
        <v>46467</v>
      </c>
      <c r="N137" s="1" t="s">
        <v>36</v>
      </c>
      <c r="O137" s="2">
        <v>1</v>
      </c>
      <c r="P137" s="3">
        <f t="shared" si="4"/>
        <v>34850.25</v>
      </c>
      <c r="Q137" s="3" t="str">
        <f t="shared" si="5"/>
        <v>8818646467</v>
      </c>
      <c r="R137" t="s">
        <v>475</v>
      </c>
      <c r="S137" t="s">
        <v>60</v>
      </c>
      <c r="T137" t="s">
        <v>102</v>
      </c>
    </row>
    <row r="138" spans="1:30" hidden="1">
      <c r="A138" t="s">
        <v>29</v>
      </c>
      <c r="B138" s="1" t="s">
        <v>252</v>
      </c>
      <c r="C138" s="1" t="s">
        <v>69</v>
      </c>
      <c r="D138" s="1" t="s">
        <v>484</v>
      </c>
      <c r="E138" s="1" t="s">
        <v>485</v>
      </c>
      <c r="F138" s="1" t="s">
        <v>486</v>
      </c>
      <c r="G138" s="1" t="s">
        <v>487</v>
      </c>
      <c r="H138" s="1" t="s">
        <v>474</v>
      </c>
      <c r="I138" s="1">
        <v>60</v>
      </c>
      <c r="J138" s="2">
        <v>101598.57</v>
      </c>
      <c r="K138" s="2">
        <v>101598.57492383</v>
      </c>
      <c r="L138" s="2">
        <v>72415.39</v>
      </c>
      <c r="M138" s="2">
        <v>72415.39</v>
      </c>
      <c r="N138" s="1" t="s">
        <v>45</v>
      </c>
      <c r="O138" s="2">
        <v>1.402997</v>
      </c>
      <c r="P138" s="3">
        <f t="shared" si="4"/>
        <v>72415.39</v>
      </c>
      <c r="Q138" s="3" t="str">
        <f t="shared" si="5"/>
        <v>NIDJP2025101401PM172415.39</v>
      </c>
      <c r="R138" t="s">
        <v>74</v>
      </c>
      <c r="S138" t="s">
        <v>60</v>
      </c>
    </row>
    <row r="139" spans="1:30" hidden="1">
      <c r="A139" t="s">
        <v>29</v>
      </c>
      <c r="B139" s="1" t="s">
        <v>96</v>
      </c>
      <c r="C139" s="1" t="s">
        <v>69</v>
      </c>
      <c r="D139" s="1" t="s">
        <v>466</v>
      </c>
      <c r="E139" s="1" t="s">
        <v>488</v>
      </c>
      <c r="F139" s="1" t="s">
        <v>346</v>
      </c>
      <c r="G139" s="1" t="s">
        <v>347</v>
      </c>
      <c r="H139" s="1" t="s">
        <v>474</v>
      </c>
      <c r="I139" s="1">
        <v>60</v>
      </c>
      <c r="J139" s="2">
        <v>65302.400000000001</v>
      </c>
      <c r="K139" s="2">
        <v>65302.398450000001</v>
      </c>
      <c r="L139" s="2">
        <v>46467</v>
      </c>
      <c r="M139" s="2">
        <v>46467</v>
      </c>
      <c r="N139" s="1" t="s">
        <v>45</v>
      </c>
      <c r="O139" s="2">
        <v>1.4053500000000001</v>
      </c>
      <c r="P139" s="3">
        <f t="shared" si="4"/>
        <v>46467</v>
      </c>
      <c r="Q139" s="3" t="str">
        <f t="shared" si="5"/>
        <v>8818646467</v>
      </c>
      <c r="R139" t="s">
        <v>475</v>
      </c>
      <c r="S139" t="s">
        <v>60</v>
      </c>
      <c r="T139" t="s">
        <v>102</v>
      </c>
    </row>
    <row r="140" spans="1:30" hidden="1">
      <c r="A140" t="s">
        <v>29</v>
      </c>
      <c r="B140" s="1" t="s">
        <v>474</v>
      </c>
      <c r="C140" s="1" t="s">
        <v>69</v>
      </c>
      <c r="D140" s="1" t="s">
        <v>489</v>
      </c>
      <c r="E140" s="1" t="s">
        <v>490</v>
      </c>
      <c r="F140" s="1" t="s">
        <v>491</v>
      </c>
      <c r="G140" s="1" t="s">
        <v>492</v>
      </c>
      <c r="H140" s="1" t="s">
        <v>474</v>
      </c>
      <c r="I140" s="1">
        <v>60</v>
      </c>
      <c r="J140" s="2">
        <v>743.78</v>
      </c>
      <c r="K140" s="2">
        <v>743.77549999999997</v>
      </c>
      <c r="L140" s="2">
        <v>530</v>
      </c>
      <c r="M140" s="2">
        <v>530</v>
      </c>
      <c r="N140" s="1" t="s">
        <v>45</v>
      </c>
      <c r="O140" s="2">
        <v>1.4033500000000001</v>
      </c>
      <c r="P140" s="3">
        <f t="shared" si="4"/>
        <v>530</v>
      </c>
      <c r="Q140" s="3" t="str">
        <f t="shared" si="5"/>
        <v>ZZZFS25110081530</v>
      </c>
      <c r="R140" t="s">
        <v>74</v>
      </c>
      <c r="S140" t="s">
        <v>60</v>
      </c>
      <c r="T140" t="s">
        <v>102</v>
      </c>
    </row>
    <row r="141" spans="1:30" hidden="1">
      <c r="A141" t="s">
        <v>29</v>
      </c>
      <c r="B141" s="1" t="s">
        <v>493</v>
      </c>
      <c r="C141" s="1" t="s">
        <v>69</v>
      </c>
      <c r="D141" s="1" t="s">
        <v>494</v>
      </c>
      <c r="E141" s="1" t="s">
        <v>334</v>
      </c>
      <c r="F141" s="1" t="s">
        <v>335</v>
      </c>
      <c r="G141" s="1" t="s">
        <v>428</v>
      </c>
      <c r="H141" s="1" t="s">
        <v>495</v>
      </c>
      <c r="I141" s="1">
        <v>59</v>
      </c>
      <c r="J141" s="2">
        <v>9193.24</v>
      </c>
      <c r="K141" s="2">
        <v>9193.23915055</v>
      </c>
      <c r="L141" s="2">
        <v>6545.63</v>
      </c>
      <c r="M141" s="2">
        <v>6545.63</v>
      </c>
      <c r="N141" s="1" t="s">
        <v>45</v>
      </c>
      <c r="O141" s="2">
        <v>1.404485</v>
      </c>
      <c r="P141" s="3">
        <f t="shared" si="4"/>
        <v>6545.63</v>
      </c>
      <c r="Q141" s="3" t="str">
        <f t="shared" si="5"/>
        <v>29083600516545.63</v>
      </c>
      <c r="R141" t="s">
        <v>91</v>
      </c>
      <c r="S141" t="s">
        <v>60</v>
      </c>
      <c r="T141" t="s">
        <v>102</v>
      </c>
    </row>
    <row r="142" spans="1:30" hidden="1">
      <c r="A142" t="s">
        <v>29</v>
      </c>
      <c r="B142" s="1" t="s">
        <v>493</v>
      </c>
      <c r="C142" s="1" t="s">
        <v>69</v>
      </c>
      <c r="D142" s="1" t="s">
        <v>496</v>
      </c>
      <c r="E142" s="1" t="s">
        <v>334</v>
      </c>
      <c r="F142" s="1" t="s">
        <v>335</v>
      </c>
      <c r="G142" s="1" t="s">
        <v>428</v>
      </c>
      <c r="H142" s="1" t="s">
        <v>495</v>
      </c>
      <c r="I142" s="1">
        <v>59</v>
      </c>
      <c r="J142" s="2">
        <v>5349.43</v>
      </c>
      <c r="K142" s="2">
        <v>5349.4305576999996</v>
      </c>
      <c r="L142" s="2">
        <v>3808.82</v>
      </c>
      <c r="M142" s="2">
        <v>3808.82</v>
      </c>
      <c r="N142" s="1" t="s">
        <v>45</v>
      </c>
      <c r="O142" s="2">
        <v>1.404485</v>
      </c>
      <c r="P142" s="3">
        <f t="shared" si="4"/>
        <v>3808.82</v>
      </c>
      <c r="Q142" s="3" t="str">
        <f t="shared" si="5"/>
        <v>29083616833808.82</v>
      </c>
      <c r="R142" t="s">
        <v>91</v>
      </c>
      <c r="S142" t="s">
        <v>60</v>
      </c>
      <c r="T142" t="s">
        <v>102</v>
      </c>
    </row>
    <row r="143" spans="1:30" hidden="1">
      <c r="A143" t="s">
        <v>29</v>
      </c>
      <c r="B143" s="1" t="s">
        <v>96</v>
      </c>
      <c r="C143" s="1" t="s">
        <v>69</v>
      </c>
      <c r="D143" s="1" t="s">
        <v>497</v>
      </c>
      <c r="E143" s="1" t="s">
        <v>498</v>
      </c>
      <c r="F143" s="1" t="s">
        <v>415</v>
      </c>
      <c r="G143" s="1" t="s">
        <v>499</v>
      </c>
      <c r="H143" s="1" t="s">
        <v>495</v>
      </c>
      <c r="I143" s="1">
        <v>59</v>
      </c>
      <c r="J143" s="2">
        <v>11242.8</v>
      </c>
      <c r="K143" s="2">
        <v>11242.8</v>
      </c>
      <c r="L143" s="2">
        <v>8000</v>
      </c>
      <c r="M143" s="2">
        <v>8000</v>
      </c>
      <c r="N143" s="1" t="s">
        <v>45</v>
      </c>
      <c r="O143" s="2">
        <v>1.4053500000000001</v>
      </c>
      <c r="P143" s="3">
        <f t="shared" si="4"/>
        <v>8000</v>
      </c>
      <c r="Q143" s="3" t="str">
        <f t="shared" si="5"/>
        <v>USPDS1677888000</v>
      </c>
      <c r="R143" t="s">
        <v>202</v>
      </c>
      <c r="S143" t="s">
        <v>60</v>
      </c>
    </row>
    <row r="144" spans="1:30" hidden="1">
      <c r="A144" t="s">
        <v>29</v>
      </c>
      <c r="B144" s="1" t="s">
        <v>260</v>
      </c>
      <c r="C144" s="1" t="s">
        <v>69</v>
      </c>
      <c r="D144" s="1" t="s">
        <v>500</v>
      </c>
      <c r="E144" s="1" t="s">
        <v>501</v>
      </c>
      <c r="F144" s="1" t="s">
        <v>502</v>
      </c>
      <c r="G144" s="1" t="s">
        <v>503</v>
      </c>
      <c r="H144" s="1" t="s">
        <v>504</v>
      </c>
      <c r="I144" s="1">
        <v>58</v>
      </c>
      <c r="J144" s="2">
        <v>3500.76</v>
      </c>
      <c r="K144" s="2">
        <v>3500.7647999999999</v>
      </c>
      <c r="L144" s="2">
        <v>2496</v>
      </c>
      <c r="M144" s="2">
        <v>2496</v>
      </c>
      <c r="N144" s="1" t="s">
        <v>45</v>
      </c>
      <c r="O144" s="2">
        <v>1.40255</v>
      </c>
      <c r="P144" s="3">
        <f t="shared" si="4"/>
        <v>2496</v>
      </c>
      <c r="Q144" s="3" t="str">
        <f t="shared" si="5"/>
        <v>20250815-tenstorrent-2496</v>
      </c>
      <c r="R144" t="s">
        <v>505</v>
      </c>
      <c r="T144" t="s">
        <v>162</v>
      </c>
    </row>
    <row r="145" spans="1:29" hidden="1">
      <c r="A145" t="s">
        <v>29</v>
      </c>
      <c r="B145" s="1" t="s">
        <v>260</v>
      </c>
      <c r="C145" s="1" t="s">
        <v>69</v>
      </c>
      <c r="D145" s="1" t="s">
        <v>506</v>
      </c>
      <c r="E145" s="1" t="s">
        <v>218</v>
      </c>
      <c r="F145" s="1" t="s">
        <v>58</v>
      </c>
      <c r="G145" s="1" t="s">
        <v>507</v>
      </c>
      <c r="H145" s="1" t="s">
        <v>504</v>
      </c>
      <c r="I145" s="1">
        <v>58</v>
      </c>
      <c r="J145" s="2">
        <v>5625</v>
      </c>
      <c r="K145" s="2">
        <v>5625</v>
      </c>
      <c r="L145" s="2">
        <v>5625</v>
      </c>
      <c r="M145" s="2">
        <v>5625</v>
      </c>
      <c r="N145" s="1" t="s">
        <v>36</v>
      </c>
      <c r="O145" s="2">
        <v>1</v>
      </c>
      <c r="P145" s="3">
        <f t="shared" si="4"/>
        <v>4218.75</v>
      </c>
      <c r="Q145" s="3" t="str">
        <f t="shared" si="5"/>
        <v>IN0625101701005625</v>
      </c>
      <c r="R145" t="s">
        <v>59</v>
      </c>
      <c r="S145" t="s">
        <v>60</v>
      </c>
      <c r="T145" t="s">
        <v>102</v>
      </c>
    </row>
    <row r="146" spans="1:29" hidden="1">
      <c r="A146" t="s">
        <v>29</v>
      </c>
      <c r="B146" s="1" t="s">
        <v>260</v>
      </c>
      <c r="C146" s="1" t="s">
        <v>69</v>
      </c>
      <c r="D146" s="1" t="s">
        <v>508</v>
      </c>
      <c r="E146" s="1" t="s">
        <v>334</v>
      </c>
      <c r="F146" s="1" t="s">
        <v>335</v>
      </c>
      <c r="G146" s="1" t="s">
        <v>419</v>
      </c>
      <c r="H146" s="1" t="s">
        <v>504</v>
      </c>
      <c r="I146" s="1">
        <v>58</v>
      </c>
      <c r="J146" s="2">
        <v>38575.74</v>
      </c>
      <c r="K146" s="2">
        <v>38575.735200000003</v>
      </c>
      <c r="L146" s="2">
        <v>27504</v>
      </c>
      <c r="M146" s="2">
        <v>27504</v>
      </c>
      <c r="N146" s="1" t="s">
        <v>45</v>
      </c>
      <c r="O146" s="2">
        <v>1.40255</v>
      </c>
      <c r="P146" s="3">
        <f t="shared" si="4"/>
        <v>27504</v>
      </c>
      <c r="Q146" s="3" t="str">
        <f t="shared" si="5"/>
        <v>190964511227504</v>
      </c>
      <c r="R146" t="s">
        <v>91</v>
      </c>
      <c r="S146" t="s">
        <v>60</v>
      </c>
      <c r="T146" t="s">
        <v>102</v>
      </c>
    </row>
    <row r="147" spans="1:29" hidden="1">
      <c r="A147" t="s">
        <v>29</v>
      </c>
      <c r="B147" s="1" t="s">
        <v>260</v>
      </c>
      <c r="C147" s="1" t="s">
        <v>69</v>
      </c>
      <c r="D147" s="1" t="s">
        <v>509</v>
      </c>
      <c r="E147" s="1" t="s">
        <v>334</v>
      </c>
      <c r="F147" s="1" t="s">
        <v>335</v>
      </c>
      <c r="G147" s="1" t="s">
        <v>510</v>
      </c>
      <c r="H147" s="1" t="s">
        <v>504</v>
      </c>
      <c r="I147" s="1">
        <v>58</v>
      </c>
      <c r="J147" s="2">
        <v>5465.89</v>
      </c>
      <c r="K147" s="2">
        <v>5465.8916305000002</v>
      </c>
      <c r="L147" s="2">
        <v>3897.11</v>
      </c>
      <c r="M147" s="2">
        <v>3897.11</v>
      </c>
      <c r="N147" s="1" t="s">
        <v>45</v>
      </c>
      <c r="O147" s="2">
        <v>1.40255</v>
      </c>
      <c r="P147" s="3">
        <f t="shared" si="4"/>
        <v>3897.11</v>
      </c>
      <c r="Q147" s="3" t="str">
        <f t="shared" si="5"/>
        <v>29083637713897.11</v>
      </c>
      <c r="R147" t="s">
        <v>91</v>
      </c>
      <c r="S147" t="s">
        <v>60</v>
      </c>
      <c r="T147" t="s">
        <v>102</v>
      </c>
    </row>
    <row r="148" spans="1:29" hidden="1">
      <c r="A148" t="s">
        <v>29</v>
      </c>
      <c r="B148" s="1" t="s">
        <v>504</v>
      </c>
      <c r="C148" s="1" t="s">
        <v>31</v>
      </c>
      <c r="D148" s="1" t="s">
        <v>32</v>
      </c>
      <c r="E148" s="1" t="s">
        <v>511</v>
      </c>
      <c r="F148" s="1" t="s">
        <v>512</v>
      </c>
      <c r="G148" s="1" t="s">
        <v>513</v>
      </c>
      <c r="H148" s="1" t="s">
        <v>504</v>
      </c>
      <c r="I148" s="1">
        <v>58</v>
      </c>
      <c r="J148" s="2">
        <v>-30423.81</v>
      </c>
      <c r="K148" s="2">
        <v>-30423.81</v>
      </c>
      <c r="L148" s="2">
        <v>-30423.81</v>
      </c>
      <c r="M148" s="2">
        <v>-30423.81</v>
      </c>
      <c r="N148" s="1" t="s">
        <v>36</v>
      </c>
      <c r="O148" s="2">
        <v>1</v>
      </c>
      <c r="P148" s="3">
        <f t="shared" si="4"/>
        <v>-22817.857500000002</v>
      </c>
      <c r="Q148" s="3" t="str">
        <f t="shared" si="5"/>
        <v>-30423.81</v>
      </c>
      <c r="AB148" t="s">
        <v>40</v>
      </c>
    </row>
    <row r="149" spans="1:29" hidden="1">
      <c r="A149" t="s">
        <v>29</v>
      </c>
      <c r="B149" s="1" t="s">
        <v>264</v>
      </c>
      <c r="C149" s="1" t="s">
        <v>69</v>
      </c>
      <c r="D149" s="1" t="s">
        <v>514</v>
      </c>
      <c r="E149" s="1" t="s">
        <v>334</v>
      </c>
      <c r="F149" s="1" t="s">
        <v>335</v>
      </c>
      <c r="G149" s="1" t="s">
        <v>419</v>
      </c>
      <c r="H149" s="1" t="s">
        <v>515</v>
      </c>
      <c r="I149" s="1">
        <v>57</v>
      </c>
      <c r="J149" s="2">
        <v>38373.769999999997</v>
      </c>
      <c r="K149" s="2">
        <v>38373.767999999996</v>
      </c>
      <c r="L149" s="2">
        <v>27360</v>
      </c>
      <c r="M149" s="2">
        <v>27360</v>
      </c>
      <c r="N149" s="1" t="s">
        <v>45</v>
      </c>
      <c r="O149" s="2">
        <v>1.40255</v>
      </c>
      <c r="P149" s="3">
        <f t="shared" si="4"/>
        <v>27360</v>
      </c>
      <c r="Q149" s="3" t="str">
        <f t="shared" si="5"/>
        <v>190964671327360</v>
      </c>
      <c r="R149" t="s">
        <v>91</v>
      </c>
      <c r="S149" t="s">
        <v>60</v>
      </c>
      <c r="T149" t="s">
        <v>102</v>
      </c>
    </row>
    <row r="150" spans="1:29" hidden="1">
      <c r="A150" t="s">
        <v>29</v>
      </c>
      <c r="B150" s="1" t="s">
        <v>264</v>
      </c>
      <c r="C150" s="1" t="s">
        <v>69</v>
      </c>
      <c r="D150" s="1" t="s">
        <v>516</v>
      </c>
      <c r="E150" s="1" t="s">
        <v>334</v>
      </c>
      <c r="F150" s="1" t="s">
        <v>335</v>
      </c>
      <c r="G150" s="1" t="s">
        <v>510</v>
      </c>
      <c r="H150" s="1" t="s">
        <v>515</v>
      </c>
      <c r="I150" s="1">
        <v>57</v>
      </c>
      <c r="J150" s="2">
        <v>6031.93</v>
      </c>
      <c r="K150" s="2">
        <v>6031.9327595000004</v>
      </c>
      <c r="L150" s="2">
        <v>4300.6899999999996</v>
      </c>
      <c r="M150" s="2">
        <v>4300.6899999999996</v>
      </c>
      <c r="N150" s="1" t="s">
        <v>45</v>
      </c>
      <c r="O150" s="2">
        <v>1.40255</v>
      </c>
      <c r="P150" s="3">
        <f t="shared" si="4"/>
        <v>4300.6899999999996</v>
      </c>
      <c r="Q150" s="3" t="str">
        <f t="shared" si="5"/>
        <v>29083663814300.69</v>
      </c>
      <c r="R150" t="s">
        <v>91</v>
      </c>
      <c r="S150" t="s">
        <v>60</v>
      </c>
      <c r="T150" t="s">
        <v>102</v>
      </c>
    </row>
    <row r="151" spans="1:29" hidden="1">
      <c r="A151" t="s">
        <v>29</v>
      </c>
      <c r="B151" s="1" t="s">
        <v>264</v>
      </c>
      <c r="C151" s="1" t="s">
        <v>69</v>
      </c>
      <c r="D151" s="1" t="s">
        <v>517</v>
      </c>
      <c r="E151" s="1" t="s">
        <v>334</v>
      </c>
      <c r="F151" s="1" t="s">
        <v>335</v>
      </c>
      <c r="G151" s="1" t="s">
        <v>510</v>
      </c>
      <c r="H151" s="1" t="s">
        <v>515</v>
      </c>
      <c r="I151" s="1">
        <v>57</v>
      </c>
      <c r="J151" s="2">
        <v>7376.3</v>
      </c>
      <c r="K151" s="2">
        <v>7376.3049854999999</v>
      </c>
      <c r="L151" s="2">
        <v>5259.21</v>
      </c>
      <c r="M151" s="2">
        <v>5259.21</v>
      </c>
      <c r="N151" s="1" t="s">
        <v>45</v>
      </c>
      <c r="O151" s="2">
        <v>1.40255</v>
      </c>
      <c r="P151" s="3">
        <f t="shared" si="4"/>
        <v>5259.21</v>
      </c>
      <c r="Q151" s="3" t="str">
        <f t="shared" si="5"/>
        <v>29083665845259.21</v>
      </c>
      <c r="R151" t="s">
        <v>91</v>
      </c>
      <c r="S151" t="s">
        <v>60</v>
      </c>
      <c r="T151" t="s">
        <v>102</v>
      </c>
    </row>
    <row r="152" spans="1:29" hidden="1">
      <c r="A152" t="s">
        <v>29</v>
      </c>
      <c r="B152" s="1" t="s">
        <v>515</v>
      </c>
      <c r="C152" s="1" t="s">
        <v>69</v>
      </c>
      <c r="D152" s="1" t="s">
        <v>518</v>
      </c>
      <c r="E152" s="1" t="s">
        <v>519</v>
      </c>
      <c r="F152" s="1" t="s">
        <v>520</v>
      </c>
      <c r="G152" s="1" t="s">
        <v>521</v>
      </c>
      <c r="H152" s="1" t="s">
        <v>515</v>
      </c>
      <c r="I152" s="1">
        <v>57</v>
      </c>
      <c r="J152" s="2">
        <v>26138.93</v>
      </c>
      <c r="K152" s="2">
        <v>26138.927051999999</v>
      </c>
      <c r="L152" s="2">
        <v>18598.5</v>
      </c>
      <c r="M152" s="2">
        <v>18598.5</v>
      </c>
      <c r="N152" s="1" t="s">
        <v>45</v>
      </c>
      <c r="O152" s="2">
        <v>1.405432</v>
      </c>
      <c r="P152" s="3">
        <f t="shared" si="4"/>
        <v>18598.5</v>
      </c>
      <c r="Q152" s="3" t="str">
        <f t="shared" si="5"/>
        <v>PRA25+000740418598.5</v>
      </c>
      <c r="R152" t="s">
        <v>74</v>
      </c>
      <c r="S152" t="s">
        <v>60</v>
      </c>
    </row>
    <row r="153" spans="1:29" hidden="1">
      <c r="A153" t="s">
        <v>29</v>
      </c>
      <c r="B153" s="1" t="s">
        <v>522</v>
      </c>
      <c r="C153" s="1" t="s">
        <v>69</v>
      </c>
      <c r="D153" s="1" t="s">
        <v>523</v>
      </c>
      <c r="E153" s="1" t="s">
        <v>524</v>
      </c>
      <c r="F153" s="1" t="s">
        <v>525</v>
      </c>
      <c r="G153" s="1" t="s">
        <v>526</v>
      </c>
      <c r="H153" s="1" t="s">
        <v>527</v>
      </c>
      <c r="I153" s="1">
        <v>55</v>
      </c>
      <c r="J153" s="2">
        <v>5740</v>
      </c>
      <c r="K153" s="2">
        <v>5740</v>
      </c>
      <c r="L153" s="2">
        <v>5740</v>
      </c>
      <c r="M153" s="2">
        <v>5740</v>
      </c>
      <c r="N153" s="1" t="s">
        <v>36</v>
      </c>
      <c r="O153" s="2">
        <v>1</v>
      </c>
      <c r="P153" s="3">
        <f t="shared" si="4"/>
        <v>4305</v>
      </c>
      <c r="Q153" s="3" t="str">
        <f t="shared" si="5"/>
        <v>938477145740</v>
      </c>
      <c r="R153" t="s">
        <v>37</v>
      </c>
      <c r="AC153" t="s">
        <v>278</v>
      </c>
    </row>
    <row r="154" spans="1:29" hidden="1">
      <c r="A154" t="s">
        <v>29</v>
      </c>
      <c r="B154" s="1" t="s">
        <v>522</v>
      </c>
      <c r="C154" s="1" t="s">
        <v>69</v>
      </c>
      <c r="D154" s="1" t="s">
        <v>528</v>
      </c>
      <c r="E154" s="1" t="s">
        <v>529</v>
      </c>
      <c r="F154" s="1" t="s">
        <v>530</v>
      </c>
      <c r="G154" s="1" t="s">
        <v>531</v>
      </c>
      <c r="H154" s="1" t="s">
        <v>527</v>
      </c>
      <c r="I154" s="1">
        <v>55</v>
      </c>
      <c r="J154" s="2">
        <v>1762.8</v>
      </c>
      <c r="K154" s="2">
        <v>1762.8</v>
      </c>
      <c r="L154" s="2">
        <v>1762.8</v>
      </c>
      <c r="M154" s="2">
        <v>1762.8</v>
      </c>
      <c r="N154" s="1" t="s">
        <v>36</v>
      </c>
      <c r="O154" s="2">
        <v>1</v>
      </c>
      <c r="P154" s="3">
        <f t="shared" si="4"/>
        <v>1322.1</v>
      </c>
      <c r="Q154" s="3" t="str">
        <f t="shared" si="5"/>
        <v>IN16842441762.8</v>
      </c>
      <c r="R154" t="s">
        <v>318</v>
      </c>
      <c r="S154" t="s">
        <v>60</v>
      </c>
      <c r="T154" t="s">
        <v>102</v>
      </c>
    </row>
    <row r="155" spans="1:29" hidden="1">
      <c r="A155" t="s">
        <v>29</v>
      </c>
      <c r="B155" s="1" t="s">
        <v>522</v>
      </c>
      <c r="C155" s="1" t="s">
        <v>69</v>
      </c>
      <c r="D155" s="1" t="s">
        <v>532</v>
      </c>
      <c r="E155" s="1" t="s">
        <v>334</v>
      </c>
      <c r="F155" s="1" t="s">
        <v>335</v>
      </c>
      <c r="G155" s="1" t="s">
        <v>533</v>
      </c>
      <c r="H155" s="1" t="s">
        <v>527</v>
      </c>
      <c r="I155" s="1">
        <v>55</v>
      </c>
      <c r="J155" s="2">
        <v>604.62</v>
      </c>
      <c r="K155" s="2">
        <v>604.61823251999999</v>
      </c>
      <c r="L155" s="2">
        <v>430.34</v>
      </c>
      <c r="M155" s="2">
        <v>430.34</v>
      </c>
      <c r="N155" s="1" t="s">
        <v>45</v>
      </c>
      <c r="O155" s="2">
        <v>1.4049780000000001</v>
      </c>
      <c r="P155" s="3">
        <f t="shared" si="4"/>
        <v>430.34</v>
      </c>
      <c r="Q155" s="3" t="str">
        <f t="shared" si="5"/>
        <v>2908369503430.34</v>
      </c>
      <c r="R155" t="s">
        <v>91</v>
      </c>
      <c r="S155" t="s">
        <v>60</v>
      </c>
      <c r="T155" t="s">
        <v>102</v>
      </c>
    </row>
    <row r="156" spans="1:29" hidden="1">
      <c r="A156" t="s">
        <v>29</v>
      </c>
      <c r="B156" s="1" t="s">
        <v>527</v>
      </c>
      <c r="C156" s="1" t="s">
        <v>42</v>
      </c>
      <c r="D156" s="1" t="s">
        <v>32</v>
      </c>
      <c r="E156" s="1" t="s">
        <v>62</v>
      </c>
      <c r="F156" s="1" t="s">
        <v>62</v>
      </c>
      <c r="G156" s="1" t="s">
        <v>32</v>
      </c>
      <c r="H156" s="1" t="s">
        <v>527</v>
      </c>
      <c r="I156" s="1">
        <v>55</v>
      </c>
      <c r="J156" s="2">
        <v>-1461548.33</v>
      </c>
      <c r="K156" s="2">
        <v>-0.01</v>
      </c>
      <c r="L156" s="2">
        <v>-1461548.33</v>
      </c>
      <c r="M156" s="2">
        <v>-0.01</v>
      </c>
      <c r="N156" s="1" t="s">
        <v>36</v>
      </c>
      <c r="O156" s="2">
        <v>1</v>
      </c>
      <c r="P156" s="3">
        <f t="shared" si="4"/>
        <v>-7.4999999999999997E-3</v>
      </c>
      <c r="Q156" s="3" t="str">
        <f t="shared" si="5"/>
        <v>-0.01</v>
      </c>
      <c r="AB156" t="s">
        <v>40</v>
      </c>
    </row>
    <row r="157" spans="1:29" hidden="1">
      <c r="A157" t="s">
        <v>29</v>
      </c>
      <c r="B157" s="1" t="s">
        <v>534</v>
      </c>
      <c r="C157" s="1" t="s">
        <v>69</v>
      </c>
      <c r="D157" s="1" t="s">
        <v>535</v>
      </c>
      <c r="E157" s="1" t="s">
        <v>65</v>
      </c>
      <c r="F157" s="1" t="s">
        <v>54</v>
      </c>
      <c r="G157" s="1" t="s">
        <v>536</v>
      </c>
      <c r="H157" s="1" t="s">
        <v>537</v>
      </c>
      <c r="I157" s="1">
        <v>54</v>
      </c>
      <c r="J157" s="2">
        <v>83</v>
      </c>
      <c r="K157" s="2">
        <v>83</v>
      </c>
      <c r="L157" s="2">
        <v>83</v>
      </c>
      <c r="M157" s="2">
        <v>83</v>
      </c>
      <c r="N157" s="1" t="s">
        <v>36</v>
      </c>
      <c r="O157" s="2">
        <v>1</v>
      </c>
      <c r="P157" s="3">
        <f t="shared" si="4"/>
        <v>62.25</v>
      </c>
      <c r="Q157" s="3" t="str">
        <f t="shared" si="5"/>
        <v>11731621183</v>
      </c>
      <c r="R157" t="s">
        <v>59</v>
      </c>
      <c r="S157" t="s">
        <v>60</v>
      </c>
    </row>
    <row r="158" spans="1:29" hidden="1">
      <c r="A158" t="s">
        <v>29</v>
      </c>
      <c r="B158" s="1" t="s">
        <v>534</v>
      </c>
      <c r="C158" s="1" t="s">
        <v>69</v>
      </c>
      <c r="D158" s="1" t="s">
        <v>538</v>
      </c>
      <c r="E158" s="1" t="s">
        <v>334</v>
      </c>
      <c r="F158" s="1" t="s">
        <v>335</v>
      </c>
      <c r="G158" s="1" t="s">
        <v>539</v>
      </c>
      <c r="H158" s="1" t="s">
        <v>537</v>
      </c>
      <c r="I158" s="1">
        <v>54</v>
      </c>
      <c r="J158" s="2">
        <v>1309.44</v>
      </c>
      <c r="K158" s="2">
        <v>1309.4413199999999</v>
      </c>
      <c r="L158" s="2">
        <v>935</v>
      </c>
      <c r="M158" s="2">
        <v>935</v>
      </c>
      <c r="N158" s="1" t="s">
        <v>45</v>
      </c>
      <c r="O158" s="2">
        <v>1.4004719999999999</v>
      </c>
      <c r="P158" s="3">
        <f t="shared" si="4"/>
        <v>935</v>
      </c>
      <c r="Q158" s="3" t="str">
        <f t="shared" si="5"/>
        <v>1909654296935</v>
      </c>
      <c r="R158" t="s">
        <v>91</v>
      </c>
      <c r="S158" t="s">
        <v>60</v>
      </c>
      <c r="T158" t="s">
        <v>102</v>
      </c>
    </row>
    <row r="159" spans="1:29" hidden="1">
      <c r="A159" t="s">
        <v>29</v>
      </c>
      <c r="B159" s="1" t="s">
        <v>534</v>
      </c>
      <c r="C159" s="1" t="s">
        <v>69</v>
      </c>
      <c r="D159" s="1" t="s">
        <v>540</v>
      </c>
      <c r="E159" s="1" t="s">
        <v>334</v>
      </c>
      <c r="F159" s="1" t="s">
        <v>335</v>
      </c>
      <c r="G159" s="1" t="s">
        <v>419</v>
      </c>
      <c r="H159" s="1" t="s">
        <v>537</v>
      </c>
      <c r="I159" s="1">
        <v>54</v>
      </c>
      <c r="J159" s="2">
        <v>37913.58</v>
      </c>
      <c r="K159" s="2">
        <v>37913.577984000003</v>
      </c>
      <c r="L159" s="2">
        <v>27072</v>
      </c>
      <c r="M159" s="2">
        <v>27072</v>
      </c>
      <c r="N159" s="1" t="s">
        <v>45</v>
      </c>
      <c r="O159" s="2">
        <v>1.4004719999999999</v>
      </c>
      <c r="P159" s="3">
        <f t="shared" si="4"/>
        <v>27072</v>
      </c>
      <c r="Q159" s="3" t="str">
        <f t="shared" si="5"/>
        <v>190965506427072</v>
      </c>
      <c r="R159" t="s">
        <v>91</v>
      </c>
      <c r="S159" t="s">
        <v>60</v>
      </c>
      <c r="T159" t="s">
        <v>102</v>
      </c>
    </row>
    <row r="160" spans="1:29" hidden="1">
      <c r="A160" t="s">
        <v>29</v>
      </c>
      <c r="B160" s="1" t="s">
        <v>534</v>
      </c>
      <c r="C160" s="1" t="s">
        <v>69</v>
      </c>
      <c r="D160" s="1" t="s">
        <v>541</v>
      </c>
      <c r="E160" s="1" t="s">
        <v>334</v>
      </c>
      <c r="F160" s="1" t="s">
        <v>335</v>
      </c>
      <c r="G160" s="1" t="s">
        <v>542</v>
      </c>
      <c r="H160" s="1" t="s">
        <v>537</v>
      </c>
      <c r="I160" s="1">
        <v>54</v>
      </c>
      <c r="J160" s="2">
        <v>2126.14</v>
      </c>
      <c r="K160" s="2">
        <v>2126.1405715199999</v>
      </c>
      <c r="L160" s="2">
        <v>1518.16</v>
      </c>
      <c r="M160" s="2">
        <v>1518.16</v>
      </c>
      <c r="N160" s="1" t="s">
        <v>45</v>
      </c>
      <c r="O160" s="2">
        <v>1.4004719999999999</v>
      </c>
      <c r="P160" s="3">
        <f t="shared" si="4"/>
        <v>1518.16</v>
      </c>
      <c r="Q160" s="3" t="str">
        <f t="shared" si="5"/>
        <v>29083731031518.16</v>
      </c>
      <c r="R160" t="s">
        <v>91</v>
      </c>
      <c r="S160" t="s">
        <v>60</v>
      </c>
      <c r="T160" t="s">
        <v>102</v>
      </c>
    </row>
    <row r="161" spans="1:20" hidden="1">
      <c r="A161" t="s">
        <v>29</v>
      </c>
      <c r="B161" s="1" t="s">
        <v>268</v>
      </c>
      <c r="C161" s="1" t="s">
        <v>69</v>
      </c>
      <c r="D161" s="1" t="s">
        <v>543</v>
      </c>
      <c r="E161" s="1" t="s">
        <v>142</v>
      </c>
      <c r="F161" s="1" t="s">
        <v>143</v>
      </c>
      <c r="G161" s="1" t="s">
        <v>376</v>
      </c>
      <c r="H161" s="1" t="s">
        <v>544</v>
      </c>
      <c r="I161" s="1">
        <v>53</v>
      </c>
      <c r="J161" s="2">
        <v>769.37</v>
      </c>
      <c r="K161" s="2">
        <v>769.36539049999999</v>
      </c>
      <c r="L161" s="2">
        <v>549.5</v>
      </c>
      <c r="M161" s="2">
        <v>549.5</v>
      </c>
      <c r="N161" s="1" t="s">
        <v>45</v>
      </c>
      <c r="O161" s="2">
        <v>1.4001189999999999</v>
      </c>
      <c r="P161" s="3">
        <f t="shared" si="4"/>
        <v>549.5</v>
      </c>
      <c r="Q161" s="3" t="str">
        <f t="shared" si="5"/>
        <v>0932167666549.5</v>
      </c>
    </row>
    <row r="162" spans="1:20" hidden="1">
      <c r="A162" t="s">
        <v>29</v>
      </c>
      <c r="B162" s="1" t="s">
        <v>268</v>
      </c>
      <c r="C162" s="1" t="s">
        <v>69</v>
      </c>
      <c r="D162" s="1" t="s">
        <v>545</v>
      </c>
      <c r="E162" s="1" t="s">
        <v>546</v>
      </c>
      <c r="F162" s="1" t="s">
        <v>547</v>
      </c>
      <c r="G162" s="1" t="s">
        <v>548</v>
      </c>
      <c r="H162" s="1" t="s">
        <v>544</v>
      </c>
      <c r="I162" s="1">
        <v>53</v>
      </c>
      <c r="J162" s="2">
        <v>2825</v>
      </c>
      <c r="K162" s="2">
        <v>2825</v>
      </c>
      <c r="L162" s="2">
        <v>2825</v>
      </c>
      <c r="M162" s="2">
        <v>2825</v>
      </c>
      <c r="N162" s="1" t="s">
        <v>36</v>
      </c>
      <c r="O162" s="2">
        <v>1</v>
      </c>
      <c r="P162" s="3">
        <f t="shared" si="4"/>
        <v>2118.75</v>
      </c>
      <c r="Q162" s="3" t="str">
        <f t="shared" si="5"/>
        <v>ML4023072825</v>
      </c>
      <c r="R162" t="s">
        <v>74</v>
      </c>
      <c r="S162" t="s">
        <v>60</v>
      </c>
    </row>
    <row r="163" spans="1:20" hidden="1">
      <c r="A163" t="s">
        <v>29</v>
      </c>
      <c r="B163" s="1" t="s">
        <v>273</v>
      </c>
      <c r="C163" s="1" t="s">
        <v>69</v>
      </c>
      <c r="D163" s="1" t="s">
        <v>549</v>
      </c>
      <c r="E163" s="1" t="s">
        <v>550</v>
      </c>
      <c r="F163" s="1" t="s">
        <v>551</v>
      </c>
      <c r="G163" s="1" t="s">
        <v>552</v>
      </c>
      <c r="H163" s="1" t="s">
        <v>553</v>
      </c>
      <c r="I163" s="1">
        <v>52</v>
      </c>
      <c r="J163" s="2">
        <v>3213.6</v>
      </c>
      <c r="K163" s="2">
        <v>3213.5977314000002</v>
      </c>
      <c r="L163" s="2">
        <v>2294.46</v>
      </c>
      <c r="M163" s="2">
        <v>2294.46</v>
      </c>
      <c r="N163" s="1" t="s">
        <v>45</v>
      </c>
      <c r="O163" s="2">
        <v>1.40059</v>
      </c>
      <c r="P163" s="3">
        <f t="shared" si="4"/>
        <v>2294.46</v>
      </c>
      <c r="Q163" s="3" t="str">
        <f t="shared" si="5"/>
        <v>330-134047302294.46</v>
      </c>
      <c r="R163" t="s">
        <v>74</v>
      </c>
      <c r="S163" t="s">
        <v>60</v>
      </c>
    </row>
    <row r="164" spans="1:20" hidden="1">
      <c r="A164" t="s">
        <v>29</v>
      </c>
      <c r="B164" s="1" t="s">
        <v>273</v>
      </c>
      <c r="C164" s="1" t="s">
        <v>69</v>
      </c>
      <c r="D164" s="1" t="s">
        <v>554</v>
      </c>
      <c r="E164" s="1" t="s">
        <v>334</v>
      </c>
      <c r="F164" s="1" t="s">
        <v>335</v>
      </c>
      <c r="G164" s="1" t="s">
        <v>419</v>
      </c>
      <c r="H164" s="1" t="s">
        <v>553</v>
      </c>
      <c r="I164" s="1">
        <v>52</v>
      </c>
      <c r="J164" s="2">
        <v>37513.4</v>
      </c>
      <c r="K164" s="2">
        <v>37513.402560000002</v>
      </c>
      <c r="L164" s="2">
        <v>26784</v>
      </c>
      <c r="M164" s="2">
        <v>26784</v>
      </c>
      <c r="N164" s="1" t="s">
        <v>45</v>
      </c>
      <c r="O164" s="2">
        <v>1.40059</v>
      </c>
      <c r="P164" s="3">
        <f t="shared" si="4"/>
        <v>26784</v>
      </c>
      <c r="Q164" s="3" t="str">
        <f t="shared" si="5"/>
        <v>190965991726784</v>
      </c>
      <c r="R164" t="s">
        <v>91</v>
      </c>
      <c r="S164" t="s">
        <v>60</v>
      </c>
      <c r="T164" t="s">
        <v>102</v>
      </c>
    </row>
    <row r="165" spans="1:20" hidden="1">
      <c r="A165" t="s">
        <v>29</v>
      </c>
      <c r="B165" s="1" t="s">
        <v>555</v>
      </c>
      <c r="C165" s="1" t="s">
        <v>69</v>
      </c>
      <c r="D165" s="1" t="s">
        <v>556</v>
      </c>
      <c r="E165" s="1" t="s">
        <v>557</v>
      </c>
      <c r="F165" s="1" t="s">
        <v>558</v>
      </c>
      <c r="G165" s="1" t="s">
        <v>559</v>
      </c>
      <c r="H165" s="1" t="s">
        <v>555</v>
      </c>
      <c r="I165" s="1">
        <v>50</v>
      </c>
      <c r="J165" s="2">
        <v>1130</v>
      </c>
      <c r="K165" s="2">
        <v>1130</v>
      </c>
      <c r="L165" s="2">
        <v>1130</v>
      </c>
      <c r="M165" s="2">
        <v>1130</v>
      </c>
      <c r="N165" s="1" t="s">
        <v>36</v>
      </c>
      <c r="O165" s="2">
        <v>1</v>
      </c>
      <c r="P165" s="3">
        <f t="shared" si="4"/>
        <v>847.5</v>
      </c>
      <c r="Q165" s="3" t="str">
        <f t="shared" si="5"/>
        <v>FER150-119371130</v>
      </c>
    </row>
    <row r="166" spans="1:20" hidden="1">
      <c r="A166" t="s">
        <v>29</v>
      </c>
      <c r="B166" s="1" t="s">
        <v>560</v>
      </c>
      <c r="C166" s="1" t="s">
        <v>69</v>
      </c>
      <c r="D166" s="1" t="s">
        <v>561</v>
      </c>
      <c r="E166" s="1" t="s">
        <v>562</v>
      </c>
      <c r="F166" s="1" t="s">
        <v>563</v>
      </c>
      <c r="G166" s="1" t="s">
        <v>564</v>
      </c>
      <c r="H166" s="1" t="s">
        <v>560</v>
      </c>
      <c r="I166" s="1">
        <v>49</v>
      </c>
      <c r="J166" s="2">
        <v>176.28</v>
      </c>
      <c r="K166" s="2">
        <v>176.28</v>
      </c>
      <c r="L166" s="2">
        <v>176.28</v>
      </c>
      <c r="M166" s="2">
        <v>176.28</v>
      </c>
      <c r="N166" s="1" t="s">
        <v>36</v>
      </c>
      <c r="O166" s="2">
        <v>1</v>
      </c>
      <c r="P166" s="3">
        <f t="shared" si="4"/>
        <v>132.21</v>
      </c>
      <c r="Q166" s="3" t="str">
        <f t="shared" si="5"/>
        <v>NW_TST_01176.28</v>
      </c>
    </row>
    <row r="167" spans="1:20" hidden="1">
      <c r="A167" t="s">
        <v>29</v>
      </c>
      <c r="B167" s="1" t="s">
        <v>560</v>
      </c>
      <c r="C167" s="1" t="s">
        <v>69</v>
      </c>
      <c r="D167" s="1" t="s">
        <v>565</v>
      </c>
      <c r="E167" s="1" t="s">
        <v>566</v>
      </c>
      <c r="F167" s="1" t="s">
        <v>567</v>
      </c>
      <c r="G167" s="1" t="s">
        <v>568</v>
      </c>
      <c r="H167" s="1" t="s">
        <v>560</v>
      </c>
      <c r="I167" s="1">
        <v>49</v>
      </c>
      <c r="J167" s="2">
        <v>542.4</v>
      </c>
      <c r="K167" s="2">
        <v>542.4</v>
      </c>
      <c r="L167" s="2">
        <v>542.4</v>
      </c>
      <c r="M167" s="2">
        <v>542.4</v>
      </c>
      <c r="N167" s="1" t="s">
        <v>36</v>
      </c>
      <c r="O167" s="2">
        <v>1</v>
      </c>
      <c r="P167" s="3">
        <f t="shared" si="4"/>
        <v>406.79999999999995</v>
      </c>
      <c r="Q167" s="3" t="str">
        <f t="shared" si="5"/>
        <v>25-0871542.4</v>
      </c>
      <c r="R167" t="s">
        <v>74</v>
      </c>
      <c r="S167" t="s">
        <v>155</v>
      </c>
    </row>
    <row r="168" spans="1:20" hidden="1">
      <c r="A168" t="s">
        <v>29</v>
      </c>
      <c r="B168" s="1" t="s">
        <v>560</v>
      </c>
      <c r="C168" s="1" t="s">
        <v>69</v>
      </c>
      <c r="D168" s="1" t="s">
        <v>569</v>
      </c>
      <c r="E168" s="1" t="s">
        <v>570</v>
      </c>
      <c r="F168" s="1" t="s">
        <v>570</v>
      </c>
      <c r="G168" s="1" t="s">
        <v>571</v>
      </c>
      <c r="H168" s="1" t="s">
        <v>560</v>
      </c>
      <c r="I168" s="1">
        <v>49</v>
      </c>
      <c r="J168" s="2">
        <v>1572.96</v>
      </c>
      <c r="K168" s="2">
        <v>1572.96</v>
      </c>
      <c r="L168" s="2">
        <v>1572.96</v>
      </c>
      <c r="M168" s="2">
        <v>1572.96</v>
      </c>
      <c r="N168" s="1" t="s">
        <v>36</v>
      </c>
      <c r="O168" s="2">
        <v>1</v>
      </c>
      <c r="P168" s="3">
        <f t="shared" si="4"/>
        <v>1179.72</v>
      </c>
      <c r="Q168" s="3" t="str">
        <f t="shared" si="5"/>
        <v>22066531572.96</v>
      </c>
      <c r="R168" t="s">
        <v>186</v>
      </c>
    </row>
    <row r="169" spans="1:20" hidden="1">
      <c r="A169" t="s">
        <v>29</v>
      </c>
      <c r="B169" s="1" t="s">
        <v>560</v>
      </c>
      <c r="C169" s="1" t="s">
        <v>69</v>
      </c>
      <c r="D169" s="1" t="s">
        <v>572</v>
      </c>
      <c r="E169" s="1" t="s">
        <v>570</v>
      </c>
      <c r="F169" s="1" t="s">
        <v>570</v>
      </c>
      <c r="G169" s="1" t="s">
        <v>571</v>
      </c>
      <c r="H169" s="1" t="s">
        <v>560</v>
      </c>
      <c r="I169" s="1">
        <v>49</v>
      </c>
      <c r="J169" s="2">
        <v>452</v>
      </c>
      <c r="K169" s="2">
        <v>452</v>
      </c>
      <c r="L169" s="2">
        <v>452</v>
      </c>
      <c r="M169" s="2">
        <v>452</v>
      </c>
      <c r="N169" s="1" t="s">
        <v>36</v>
      </c>
      <c r="O169" s="2">
        <v>1</v>
      </c>
      <c r="P169" s="3">
        <f t="shared" si="4"/>
        <v>339</v>
      </c>
      <c r="Q169" s="3" t="str">
        <f t="shared" si="5"/>
        <v>2206650452</v>
      </c>
      <c r="R169" t="s">
        <v>186</v>
      </c>
    </row>
    <row r="170" spans="1:20" hidden="1">
      <c r="A170" t="s">
        <v>29</v>
      </c>
      <c r="B170" s="1" t="s">
        <v>573</v>
      </c>
      <c r="C170" s="1" t="s">
        <v>69</v>
      </c>
      <c r="D170" s="1" t="s">
        <v>574</v>
      </c>
      <c r="E170" s="1" t="s">
        <v>575</v>
      </c>
      <c r="F170" s="1" t="s">
        <v>576</v>
      </c>
      <c r="G170" s="1" t="s">
        <v>577</v>
      </c>
      <c r="H170" s="1" t="s">
        <v>578</v>
      </c>
      <c r="I170" s="1">
        <v>48</v>
      </c>
      <c r="J170" s="2">
        <v>32967.68</v>
      </c>
      <c r="K170" s="2">
        <v>32967.68</v>
      </c>
      <c r="L170" s="2">
        <v>32967.68</v>
      </c>
      <c r="M170" s="2">
        <v>32967.68</v>
      </c>
      <c r="N170" s="1" t="s">
        <v>36</v>
      </c>
      <c r="O170" s="2">
        <v>1</v>
      </c>
      <c r="P170" s="3">
        <f t="shared" si="4"/>
        <v>24725.760000000002</v>
      </c>
      <c r="Q170" s="3" t="str">
        <f t="shared" si="5"/>
        <v>SI11754232967.68</v>
      </c>
      <c r="R170" t="s">
        <v>74</v>
      </c>
      <c r="S170" t="s">
        <v>60</v>
      </c>
      <c r="T170" t="s">
        <v>102</v>
      </c>
    </row>
    <row r="171" spans="1:20" hidden="1">
      <c r="A171" t="s">
        <v>29</v>
      </c>
      <c r="B171" s="1" t="s">
        <v>573</v>
      </c>
      <c r="C171" s="1" t="s">
        <v>69</v>
      </c>
      <c r="D171" s="1" t="s">
        <v>579</v>
      </c>
      <c r="E171" s="1" t="s">
        <v>580</v>
      </c>
      <c r="F171" s="1" t="s">
        <v>581</v>
      </c>
      <c r="G171" s="1" t="s">
        <v>582</v>
      </c>
      <c r="H171" s="1" t="s">
        <v>578</v>
      </c>
      <c r="I171" s="1">
        <v>48</v>
      </c>
      <c r="J171" s="2">
        <v>441721.18</v>
      </c>
      <c r="K171" s="2">
        <v>441721.18099875998</v>
      </c>
      <c r="L171" s="2">
        <v>315823.96000000002</v>
      </c>
      <c r="M171" s="2">
        <v>315823.96000000002</v>
      </c>
      <c r="N171" s="1" t="s">
        <v>45</v>
      </c>
      <c r="O171" s="2">
        <v>1.398631</v>
      </c>
      <c r="P171" s="3">
        <f t="shared" si="4"/>
        <v>315823.96000000002</v>
      </c>
      <c r="Q171" s="3" t="str">
        <f t="shared" si="5"/>
        <v>130676315823.96</v>
      </c>
      <c r="R171" t="s">
        <v>74</v>
      </c>
      <c r="S171" t="s">
        <v>60</v>
      </c>
      <c r="T171" t="s">
        <v>102</v>
      </c>
    </row>
    <row r="172" spans="1:20" hidden="1">
      <c r="A172" t="s">
        <v>29</v>
      </c>
      <c r="B172" s="1" t="s">
        <v>573</v>
      </c>
      <c r="C172" s="1" t="s">
        <v>69</v>
      </c>
      <c r="D172" s="1" t="s">
        <v>583</v>
      </c>
      <c r="E172" s="1" t="s">
        <v>584</v>
      </c>
      <c r="F172" s="1" t="s">
        <v>585</v>
      </c>
      <c r="G172" s="1" t="s">
        <v>586</v>
      </c>
      <c r="H172" s="1" t="s">
        <v>578</v>
      </c>
      <c r="I172" s="1">
        <v>48</v>
      </c>
      <c r="J172" s="2">
        <v>179</v>
      </c>
      <c r="K172" s="2">
        <v>179</v>
      </c>
      <c r="L172" s="2">
        <v>179</v>
      </c>
      <c r="M172" s="2">
        <v>179</v>
      </c>
      <c r="N172" s="1" t="s">
        <v>36</v>
      </c>
      <c r="O172" s="2">
        <v>1</v>
      </c>
      <c r="P172" s="3">
        <f t="shared" si="4"/>
        <v>134.25</v>
      </c>
      <c r="Q172" s="3" t="str">
        <f t="shared" si="5"/>
        <v>7654126179</v>
      </c>
      <c r="R172" t="s">
        <v>139</v>
      </c>
      <c r="S172" t="s">
        <v>60</v>
      </c>
    </row>
    <row r="173" spans="1:20" hidden="1">
      <c r="A173" t="s">
        <v>29</v>
      </c>
      <c r="B173" s="1" t="s">
        <v>573</v>
      </c>
      <c r="C173" s="1" t="s">
        <v>69</v>
      </c>
      <c r="D173" s="1" t="s">
        <v>587</v>
      </c>
      <c r="E173" s="1" t="s">
        <v>584</v>
      </c>
      <c r="F173" s="1" t="s">
        <v>585</v>
      </c>
      <c r="G173" s="1" t="s">
        <v>586</v>
      </c>
      <c r="H173" s="1" t="s">
        <v>578</v>
      </c>
      <c r="I173" s="1">
        <v>48</v>
      </c>
      <c r="J173" s="2">
        <v>192.1</v>
      </c>
      <c r="K173" s="2">
        <v>192.1</v>
      </c>
      <c r="L173" s="2">
        <v>192.1</v>
      </c>
      <c r="M173" s="2">
        <v>192.1</v>
      </c>
      <c r="N173" s="1" t="s">
        <v>36</v>
      </c>
      <c r="O173" s="2">
        <v>1</v>
      </c>
      <c r="P173" s="3">
        <f t="shared" si="4"/>
        <v>144.07499999999999</v>
      </c>
      <c r="Q173" s="3" t="str">
        <f t="shared" si="5"/>
        <v>7654534192.1</v>
      </c>
      <c r="R173" t="s">
        <v>139</v>
      </c>
      <c r="S173" t="s">
        <v>60</v>
      </c>
    </row>
    <row r="174" spans="1:20" hidden="1">
      <c r="A174" t="s">
        <v>29</v>
      </c>
      <c r="B174" s="1" t="s">
        <v>573</v>
      </c>
      <c r="C174" s="1" t="s">
        <v>69</v>
      </c>
      <c r="D174" s="1" t="s">
        <v>588</v>
      </c>
      <c r="E174" s="1" t="s">
        <v>584</v>
      </c>
      <c r="F174" s="1" t="s">
        <v>585</v>
      </c>
      <c r="G174" s="1" t="s">
        <v>586</v>
      </c>
      <c r="H174" s="1" t="s">
        <v>578</v>
      </c>
      <c r="I174" s="1">
        <v>48</v>
      </c>
      <c r="J174" s="2">
        <v>101.42</v>
      </c>
      <c r="K174" s="2">
        <v>101.42</v>
      </c>
      <c r="L174" s="2">
        <v>101.42</v>
      </c>
      <c r="M174" s="2">
        <v>101.42</v>
      </c>
      <c r="N174" s="1" t="s">
        <v>36</v>
      </c>
      <c r="O174" s="2">
        <v>1</v>
      </c>
      <c r="P174" s="3">
        <f t="shared" si="4"/>
        <v>76.064999999999998</v>
      </c>
      <c r="Q174" s="3" t="str">
        <f t="shared" si="5"/>
        <v>7653976101.42</v>
      </c>
      <c r="R174" t="s">
        <v>139</v>
      </c>
      <c r="S174" t="s">
        <v>60</v>
      </c>
    </row>
    <row r="175" spans="1:20" hidden="1">
      <c r="A175" t="s">
        <v>29</v>
      </c>
      <c r="B175" s="1" t="s">
        <v>573</v>
      </c>
      <c r="C175" s="1" t="s">
        <v>69</v>
      </c>
      <c r="D175" s="1" t="s">
        <v>589</v>
      </c>
      <c r="E175" s="1" t="s">
        <v>584</v>
      </c>
      <c r="F175" s="1" t="s">
        <v>585</v>
      </c>
      <c r="G175" s="1" t="s">
        <v>586</v>
      </c>
      <c r="H175" s="1" t="s">
        <v>578</v>
      </c>
      <c r="I175" s="1">
        <v>48</v>
      </c>
      <c r="J175" s="2">
        <v>97.41</v>
      </c>
      <c r="K175" s="2">
        <v>97.41</v>
      </c>
      <c r="L175" s="2">
        <v>97.41</v>
      </c>
      <c r="M175" s="2">
        <v>97.41</v>
      </c>
      <c r="N175" s="1" t="s">
        <v>36</v>
      </c>
      <c r="O175" s="2">
        <v>1</v>
      </c>
      <c r="P175" s="3">
        <f t="shared" si="4"/>
        <v>73.057500000000005</v>
      </c>
      <c r="Q175" s="3" t="str">
        <f t="shared" si="5"/>
        <v>765393097.41</v>
      </c>
      <c r="R175" t="s">
        <v>139</v>
      </c>
      <c r="S175" t="s">
        <v>60</v>
      </c>
    </row>
    <row r="176" spans="1:20" hidden="1">
      <c r="A176" t="s">
        <v>29</v>
      </c>
      <c r="B176" s="1" t="s">
        <v>573</v>
      </c>
      <c r="C176" s="1" t="s">
        <v>69</v>
      </c>
      <c r="D176" s="1" t="s">
        <v>590</v>
      </c>
      <c r="E176" s="1" t="s">
        <v>584</v>
      </c>
      <c r="F176" s="1" t="s">
        <v>585</v>
      </c>
      <c r="G176" s="1" t="s">
        <v>586</v>
      </c>
      <c r="H176" s="1" t="s">
        <v>578</v>
      </c>
      <c r="I176" s="1">
        <v>48</v>
      </c>
      <c r="J176" s="2">
        <v>97.41</v>
      </c>
      <c r="K176" s="2">
        <v>97.41</v>
      </c>
      <c r="L176" s="2">
        <v>97.41</v>
      </c>
      <c r="M176" s="2">
        <v>97.41</v>
      </c>
      <c r="N176" s="1" t="s">
        <v>36</v>
      </c>
      <c r="O176" s="2">
        <v>1</v>
      </c>
      <c r="P176" s="3">
        <f t="shared" si="4"/>
        <v>73.057500000000005</v>
      </c>
      <c r="Q176" s="3" t="str">
        <f t="shared" si="5"/>
        <v>765394297.41</v>
      </c>
      <c r="R176" t="s">
        <v>139</v>
      </c>
      <c r="S176" t="s">
        <v>60</v>
      </c>
    </row>
    <row r="177" spans="1:20" hidden="1">
      <c r="A177" t="s">
        <v>29</v>
      </c>
      <c r="B177" s="1" t="s">
        <v>573</v>
      </c>
      <c r="C177" s="1" t="s">
        <v>69</v>
      </c>
      <c r="D177" s="1" t="s">
        <v>591</v>
      </c>
      <c r="E177" s="1" t="s">
        <v>584</v>
      </c>
      <c r="F177" s="1" t="s">
        <v>585</v>
      </c>
      <c r="G177" s="1" t="s">
        <v>586</v>
      </c>
      <c r="H177" s="1" t="s">
        <v>578</v>
      </c>
      <c r="I177" s="1">
        <v>48</v>
      </c>
      <c r="J177" s="2">
        <v>189.9</v>
      </c>
      <c r="K177" s="2">
        <v>189.9</v>
      </c>
      <c r="L177" s="2">
        <v>189.9</v>
      </c>
      <c r="M177" s="2">
        <v>189.9</v>
      </c>
      <c r="N177" s="1" t="s">
        <v>36</v>
      </c>
      <c r="O177" s="2">
        <v>1</v>
      </c>
      <c r="P177" s="3">
        <f t="shared" si="4"/>
        <v>142.42500000000001</v>
      </c>
      <c r="Q177" s="3" t="str">
        <f t="shared" si="5"/>
        <v>7654363189.9</v>
      </c>
      <c r="R177" t="s">
        <v>139</v>
      </c>
      <c r="S177" t="s">
        <v>60</v>
      </c>
    </row>
    <row r="178" spans="1:20" hidden="1">
      <c r="A178" t="s">
        <v>29</v>
      </c>
      <c r="B178" s="1" t="s">
        <v>573</v>
      </c>
      <c r="C178" s="1" t="s">
        <v>69</v>
      </c>
      <c r="D178" s="1" t="s">
        <v>592</v>
      </c>
      <c r="E178" s="1" t="s">
        <v>334</v>
      </c>
      <c r="F178" s="1" t="s">
        <v>335</v>
      </c>
      <c r="G178" s="1" t="s">
        <v>542</v>
      </c>
      <c r="H178" s="1" t="s">
        <v>578</v>
      </c>
      <c r="I178" s="1">
        <v>48</v>
      </c>
      <c r="J178" s="2">
        <v>1839.12</v>
      </c>
      <c r="K178" s="2">
        <v>1839.1158471399999</v>
      </c>
      <c r="L178" s="2">
        <v>1314.94</v>
      </c>
      <c r="M178" s="2">
        <v>1314.94</v>
      </c>
      <c r="N178" s="1" t="s">
        <v>45</v>
      </c>
      <c r="O178" s="2">
        <v>1.398631</v>
      </c>
      <c r="P178" s="3">
        <f t="shared" si="4"/>
        <v>1314.94</v>
      </c>
      <c r="Q178" s="3" t="str">
        <f t="shared" si="5"/>
        <v>29083852351314.94</v>
      </c>
      <c r="R178" t="s">
        <v>91</v>
      </c>
      <c r="S178" t="s">
        <v>60</v>
      </c>
      <c r="T178" t="s">
        <v>102</v>
      </c>
    </row>
    <row r="179" spans="1:20" hidden="1">
      <c r="A179" t="s">
        <v>29</v>
      </c>
      <c r="B179" s="1" t="s">
        <v>573</v>
      </c>
      <c r="C179" s="1" t="s">
        <v>69</v>
      </c>
      <c r="D179" s="1" t="s">
        <v>468</v>
      </c>
      <c r="E179" s="1" t="s">
        <v>345</v>
      </c>
      <c r="F179" s="1" t="s">
        <v>346</v>
      </c>
      <c r="G179" s="1" t="s">
        <v>593</v>
      </c>
      <c r="H179" s="1" t="s">
        <v>578</v>
      </c>
      <c r="I179" s="1">
        <v>48</v>
      </c>
      <c r="J179" s="2">
        <v>1800</v>
      </c>
      <c r="K179" s="2">
        <v>1800</v>
      </c>
      <c r="L179" s="2">
        <v>1800</v>
      </c>
      <c r="M179" s="2">
        <v>1800</v>
      </c>
      <c r="N179" s="1" t="s">
        <v>36</v>
      </c>
      <c r="O179" s="2">
        <v>1</v>
      </c>
      <c r="P179" s="3">
        <f t="shared" si="4"/>
        <v>1350</v>
      </c>
      <c r="Q179" s="3" t="str">
        <f t="shared" si="5"/>
        <v>884541800</v>
      </c>
      <c r="R179" t="s">
        <v>475</v>
      </c>
      <c r="S179" t="s">
        <v>60</v>
      </c>
      <c r="T179" t="s">
        <v>102</v>
      </c>
    </row>
    <row r="180" spans="1:20" hidden="1">
      <c r="A180" t="s">
        <v>29</v>
      </c>
      <c r="B180" s="1" t="s">
        <v>96</v>
      </c>
      <c r="C180" s="1" t="s">
        <v>69</v>
      </c>
      <c r="D180" s="1" t="s">
        <v>468</v>
      </c>
      <c r="E180" s="1" t="s">
        <v>488</v>
      </c>
      <c r="F180" s="1" t="s">
        <v>346</v>
      </c>
      <c r="G180" s="1" t="s">
        <v>593</v>
      </c>
      <c r="H180" s="1" t="s">
        <v>578</v>
      </c>
      <c r="I180" s="1">
        <v>48</v>
      </c>
      <c r="J180" s="2">
        <v>2529.63</v>
      </c>
      <c r="K180" s="2">
        <v>2529.63</v>
      </c>
      <c r="L180" s="2">
        <v>1800</v>
      </c>
      <c r="M180" s="2">
        <v>1800</v>
      </c>
      <c r="N180" s="1" t="s">
        <v>45</v>
      </c>
      <c r="O180" s="2">
        <v>1.4053500000000001</v>
      </c>
      <c r="P180" s="3">
        <f t="shared" si="4"/>
        <v>1800</v>
      </c>
      <c r="Q180" s="3" t="str">
        <f t="shared" si="5"/>
        <v>884541800</v>
      </c>
      <c r="R180" t="s">
        <v>475</v>
      </c>
      <c r="S180" t="s">
        <v>60</v>
      </c>
      <c r="T180" t="s">
        <v>102</v>
      </c>
    </row>
    <row r="181" spans="1:20" hidden="1">
      <c r="A181" t="s">
        <v>29</v>
      </c>
      <c r="B181" s="1" t="s">
        <v>594</v>
      </c>
      <c r="C181" s="1" t="s">
        <v>69</v>
      </c>
      <c r="D181" s="1" t="s">
        <v>595</v>
      </c>
      <c r="E181" s="1" t="s">
        <v>334</v>
      </c>
      <c r="F181" s="1" t="s">
        <v>335</v>
      </c>
      <c r="G181" s="1" t="s">
        <v>542</v>
      </c>
      <c r="H181" s="1" t="s">
        <v>596</v>
      </c>
      <c r="I181" s="1">
        <v>47</v>
      </c>
      <c r="J181" s="2">
        <v>283.26</v>
      </c>
      <c r="K181" s="2">
        <v>283.25729970999998</v>
      </c>
      <c r="L181" s="2">
        <v>203.23</v>
      </c>
      <c r="M181" s="2">
        <v>203.23</v>
      </c>
      <c r="N181" s="1" t="s">
        <v>45</v>
      </c>
      <c r="O181" s="2">
        <v>1.393777</v>
      </c>
      <c r="P181" s="3">
        <f t="shared" si="4"/>
        <v>203.23</v>
      </c>
      <c r="Q181" s="3" t="str">
        <f t="shared" si="5"/>
        <v>2908388370203.23</v>
      </c>
      <c r="R181" t="s">
        <v>91</v>
      </c>
      <c r="S181" t="s">
        <v>60</v>
      </c>
      <c r="T181" t="s">
        <v>102</v>
      </c>
    </row>
    <row r="182" spans="1:20" hidden="1">
      <c r="A182" t="s">
        <v>29</v>
      </c>
      <c r="B182" s="1" t="s">
        <v>594</v>
      </c>
      <c r="C182" s="1" t="s">
        <v>69</v>
      </c>
      <c r="D182" s="1" t="s">
        <v>597</v>
      </c>
      <c r="E182" s="1" t="s">
        <v>334</v>
      </c>
      <c r="F182" s="1" t="s">
        <v>335</v>
      </c>
      <c r="G182" s="1" t="s">
        <v>542</v>
      </c>
      <c r="H182" s="1" t="s">
        <v>596</v>
      </c>
      <c r="I182" s="1">
        <v>47</v>
      </c>
      <c r="J182" s="2">
        <v>233.26</v>
      </c>
      <c r="K182" s="2">
        <v>233.26251872</v>
      </c>
      <c r="L182" s="2">
        <v>167.36</v>
      </c>
      <c r="M182" s="2">
        <v>167.36</v>
      </c>
      <c r="N182" s="1" t="s">
        <v>45</v>
      </c>
      <c r="O182" s="2">
        <v>1.393777</v>
      </c>
      <c r="P182" s="3">
        <f t="shared" si="4"/>
        <v>167.36</v>
      </c>
      <c r="Q182" s="3" t="str">
        <f t="shared" si="5"/>
        <v>2908388771167.36</v>
      </c>
      <c r="R182" t="s">
        <v>91</v>
      </c>
      <c r="S182" t="s">
        <v>60</v>
      </c>
      <c r="T182" t="s">
        <v>102</v>
      </c>
    </row>
    <row r="183" spans="1:20" hidden="1">
      <c r="A183" t="s">
        <v>29</v>
      </c>
      <c r="B183" s="1" t="s">
        <v>96</v>
      </c>
      <c r="C183" s="1" t="s">
        <v>69</v>
      </c>
      <c r="D183" s="1" t="s">
        <v>598</v>
      </c>
      <c r="E183" s="1" t="s">
        <v>599</v>
      </c>
      <c r="F183" s="1" t="s">
        <v>599</v>
      </c>
      <c r="G183" s="1" t="s">
        <v>600</v>
      </c>
      <c r="H183" s="1" t="s">
        <v>596</v>
      </c>
      <c r="I183" s="1">
        <v>47</v>
      </c>
      <c r="J183" s="2">
        <v>4203.1899999999996</v>
      </c>
      <c r="K183" s="2">
        <v>4203.1869749999996</v>
      </c>
      <c r="L183" s="2">
        <v>2598.5700000000002</v>
      </c>
      <c r="M183" s="2">
        <v>2598.5700000000002</v>
      </c>
      <c r="N183" s="1" t="s">
        <v>601</v>
      </c>
      <c r="O183" s="2">
        <v>1.6174999999999999</v>
      </c>
      <c r="P183" s="3">
        <f t="shared" si="4"/>
        <v>2598.5700000000002</v>
      </c>
      <c r="Q183" s="3" t="str">
        <f t="shared" si="5"/>
        <v>IESI2743122598.57</v>
      </c>
      <c r="R183" t="s">
        <v>37</v>
      </c>
      <c r="S183" t="s">
        <v>60</v>
      </c>
      <c r="T183" t="s">
        <v>102</v>
      </c>
    </row>
    <row r="184" spans="1:20" hidden="1">
      <c r="A184" t="s">
        <v>29</v>
      </c>
      <c r="B184" s="1" t="s">
        <v>596</v>
      </c>
      <c r="C184" s="1" t="s">
        <v>69</v>
      </c>
      <c r="D184" s="1" t="s">
        <v>602</v>
      </c>
      <c r="E184" s="1" t="s">
        <v>385</v>
      </c>
      <c r="F184" s="1" t="s">
        <v>386</v>
      </c>
      <c r="G184" s="1" t="s">
        <v>603</v>
      </c>
      <c r="H184" s="1" t="s">
        <v>596</v>
      </c>
      <c r="I184" s="1">
        <v>47</v>
      </c>
      <c r="J184" s="2">
        <v>634.19000000000005</v>
      </c>
      <c r="K184" s="2">
        <v>634.19035199999996</v>
      </c>
      <c r="L184" s="2">
        <v>452</v>
      </c>
      <c r="M184" s="2">
        <v>452</v>
      </c>
      <c r="N184" s="1" t="s">
        <v>45</v>
      </c>
      <c r="O184" s="2">
        <v>1.403076</v>
      </c>
      <c r="P184" s="3">
        <f t="shared" si="4"/>
        <v>452</v>
      </c>
      <c r="Q184" s="3" t="str">
        <f t="shared" si="5"/>
        <v>0000869748452</v>
      </c>
      <c r="R184" t="s">
        <v>74</v>
      </c>
      <c r="S184" t="s">
        <v>60</v>
      </c>
      <c r="T184" t="s">
        <v>102</v>
      </c>
    </row>
    <row r="185" spans="1:20" hidden="1">
      <c r="A185" t="s">
        <v>29</v>
      </c>
      <c r="B185" s="1" t="s">
        <v>280</v>
      </c>
      <c r="C185" s="1" t="s">
        <v>69</v>
      </c>
      <c r="D185" s="1" t="s">
        <v>604</v>
      </c>
      <c r="E185" s="1" t="s">
        <v>218</v>
      </c>
      <c r="F185" s="1" t="s">
        <v>58</v>
      </c>
      <c r="G185" s="1" t="s">
        <v>605</v>
      </c>
      <c r="H185" s="1" t="s">
        <v>606</v>
      </c>
      <c r="I185" s="1">
        <v>46</v>
      </c>
      <c r="J185" s="2">
        <v>12184</v>
      </c>
      <c r="K185" s="2">
        <v>12184</v>
      </c>
      <c r="L185" s="2">
        <v>12184</v>
      </c>
      <c r="M185" s="2">
        <v>12184</v>
      </c>
      <c r="N185" s="1" t="s">
        <v>36</v>
      </c>
      <c r="O185" s="2">
        <v>1</v>
      </c>
      <c r="P185" s="3">
        <f t="shared" si="4"/>
        <v>9138</v>
      </c>
      <c r="Q185" s="3" t="str">
        <f t="shared" si="5"/>
        <v>IN06251029007612184</v>
      </c>
      <c r="R185" t="s">
        <v>59</v>
      </c>
      <c r="S185" t="s">
        <v>60</v>
      </c>
      <c r="T185" t="s">
        <v>102</v>
      </c>
    </row>
    <row r="186" spans="1:20" hidden="1">
      <c r="A186" t="s">
        <v>29</v>
      </c>
      <c r="B186" s="1" t="s">
        <v>280</v>
      </c>
      <c r="C186" s="1" t="s">
        <v>69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606</v>
      </c>
      <c r="I186" s="1">
        <v>46</v>
      </c>
      <c r="J186" s="2">
        <v>706.44</v>
      </c>
      <c r="K186" s="2">
        <v>706.44231449999995</v>
      </c>
      <c r="L186" s="2">
        <v>506.61</v>
      </c>
      <c r="M186" s="2">
        <v>506.61</v>
      </c>
      <c r="N186" s="1" t="s">
        <v>45</v>
      </c>
      <c r="O186" s="2">
        <v>1.39445</v>
      </c>
      <c r="P186" s="3">
        <f t="shared" si="4"/>
        <v>506.61</v>
      </c>
      <c r="Q186" s="3" t="str">
        <f t="shared" si="5"/>
        <v>17877188506.61</v>
      </c>
      <c r="R186" t="s">
        <v>74</v>
      </c>
      <c r="S186" t="s">
        <v>60</v>
      </c>
      <c r="T186" t="s">
        <v>102</v>
      </c>
    </row>
    <row r="187" spans="1:20" hidden="1">
      <c r="A187" t="s">
        <v>29</v>
      </c>
      <c r="B187" s="1" t="s">
        <v>280</v>
      </c>
      <c r="C187" s="1" t="s">
        <v>69</v>
      </c>
      <c r="D187" s="1" t="s">
        <v>611</v>
      </c>
      <c r="E187" s="1" t="s">
        <v>546</v>
      </c>
      <c r="F187" s="1" t="s">
        <v>547</v>
      </c>
      <c r="G187" s="1" t="s">
        <v>612</v>
      </c>
      <c r="H187" s="1" t="s">
        <v>606</v>
      </c>
      <c r="I187" s="1">
        <v>46</v>
      </c>
      <c r="J187" s="2">
        <v>11469.5</v>
      </c>
      <c r="K187" s="2">
        <v>11469.5</v>
      </c>
      <c r="L187" s="2">
        <v>11469.5</v>
      </c>
      <c r="M187" s="2">
        <v>11469.5</v>
      </c>
      <c r="N187" s="1" t="s">
        <v>36</v>
      </c>
      <c r="O187" s="2">
        <v>1</v>
      </c>
      <c r="P187" s="3">
        <f t="shared" si="4"/>
        <v>8602.125</v>
      </c>
      <c r="Q187" s="3" t="str">
        <f t="shared" si="5"/>
        <v>ML40234511469.5</v>
      </c>
      <c r="R187" t="s">
        <v>74</v>
      </c>
      <c r="S187" t="s">
        <v>60</v>
      </c>
      <c r="T187" t="s">
        <v>102</v>
      </c>
    </row>
    <row r="188" spans="1:20" hidden="1">
      <c r="A188" t="s">
        <v>29</v>
      </c>
      <c r="B188" s="1" t="s">
        <v>280</v>
      </c>
      <c r="C188" s="1" t="s">
        <v>69</v>
      </c>
      <c r="D188" s="1" t="s">
        <v>613</v>
      </c>
      <c r="E188" s="1" t="s">
        <v>71</v>
      </c>
      <c r="F188" s="1" t="s">
        <v>72</v>
      </c>
      <c r="G188" s="1" t="s">
        <v>614</v>
      </c>
      <c r="H188" s="1" t="s">
        <v>606</v>
      </c>
      <c r="I188" s="1">
        <v>46</v>
      </c>
      <c r="J188" s="2">
        <v>268165.19</v>
      </c>
      <c r="K188" s="2">
        <v>268165.19034824998</v>
      </c>
      <c r="L188" s="2">
        <v>192364.25</v>
      </c>
      <c r="M188" s="2">
        <v>192364.25</v>
      </c>
      <c r="N188" s="1" t="s">
        <v>45</v>
      </c>
      <c r="O188" s="2">
        <v>1.3940490000000001</v>
      </c>
      <c r="P188" s="3">
        <f t="shared" si="4"/>
        <v>192364.25</v>
      </c>
      <c r="Q188" s="3" t="str">
        <f t="shared" si="5"/>
        <v>91909140192364.25</v>
      </c>
      <c r="R188" t="s">
        <v>74</v>
      </c>
      <c r="S188" t="s">
        <v>60</v>
      </c>
      <c r="T188" t="s">
        <v>102</v>
      </c>
    </row>
    <row r="189" spans="1:20" hidden="1">
      <c r="A189" t="s">
        <v>29</v>
      </c>
      <c r="B189" s="1" t="s">
        <v>280</v>
      </c>
      <c r="C189" s="1" t="s">
        <v>69</v>
      </c>
      <c r="D189" s="1" t="s">
        <v>615</v>
      </c>
      <c r="E189" s="1" t="s">
        <v>616</v>
      </c>
      <c r="F189" s="1" t="s">
        <v>222</v>
      </c>
      <c r="G189" s="1" t="s">
        <v>617</v>
      </c>
      <c r="H189" s="1" t="s">
        <v>606</v>
      </c>
      <c r="I189" s="1">
        <v>46</v>
      </c>
      <c r="J189" s="2">
        <v>8166.1</v>
      </c>
      <c r="K189" s="2">
        <v>8166.1</v>
      </c>
      <c r="L189" s="2">
        <v>8166.1</v>
      </c>
      <c r="M189" s="2">
        <v>8166.1</v>
      </c>
      <c r="N189" s="1" t="s">
        <v>36</v>
      </c>
      <c r="O189" s="2">
        <v>1</v>
      </c>
      <c r="P189" s="3">
        <f t="shared" si="4"/>
        <v>6124.5750000000007</v>
      </c>
      <c r="Q189" s="3" t="str">
        <f t="shared" si="5"/>
        <v>FGL00044588166.1</v>
      </c>
      <c r="R189" t="s">
        <v>139</v>
      </c>
      <c r="S189" t="s">
        <v>60</v>
      </c>
    </row>
    <row r="190" spans="1:20" hidden="1">
      <c r="A190" t="s">
        <v>29</v>
      </c>
      <c r="B190" s="1" t="s">
        <v>280</v>
      </c>
      <c r="C190" s="1" t="s">
        <v>69</v>
      </c>
      <c r="D190" s="1" t="s">
        <v>618</v>
      </c>
      <c r="E190" s="1" t="s">
        <v>584</v>
      </c>
      <c r="F190" s="1" t="s">
        <v>585</v>
      </c>
      <c r="G190" s="1" t="s">
        <v>586</v>
      </c>
      <c r="H190" s="1" t="s">
        <v>606</v>
      </c>
      <c r="I190" s="1">
        <v>46</v>
      </c>
      <c r="J190" s="2">
        <v>97.41</v>
      </c>
      <c r="K190" s="2">
        <v>97.41</v>
      </c>
      <c r="L190" s="2">
        <v>97.41</v>
      </c>
      <c r="M190" s="2">
        <v>97.41</v>
      </c>
      <c r="N190" s="1" t="s">
        <v>36</v>
      </c>
      <c r="O190" s="2">
        <v>1</v>
      </c>
      <c r="P190" s="3">
        <f t="shared" si="4"/>
        <v>73.057500000000005</v>
      </c>
      <c r="Q190" s="3" t="str">
        <f t="shared" si="5"/>
        <v>766549697.41</v>
      </c>
      <c r="R190" t="s">
        <v>139</v>
      </c>
      <c r="S190" t="s">
        <v>60</v>
      </c>
    </row>
    <row r="191" spans="1:20" hidden="1">
      <c r="A191" t="s">
        <v>29</v>
      </c>
      <c r="B191" s="1" t="s">
        <v>280</v>
      </c>
      <c r="C191" s="1" t="s">
        <v>69</v>
      </c>
      <c r="D191" s="1" t="s">
        <v>619</v>
      </c>
      <c r="E191" s="1" t="s">
        <v>584</v>
      </c>
      <c r="F191" s="1" t="s">
        <v>585</v>
      </c>
      <c r="G191" s="1" t="s">
        <v>586</v>
      </c>
      <c r="H191" s="1" t="s">
        <v>606</v>
      </c>
      <c r="I191" s="1">
        <v>46</v>
      </c>
      <c r="J191" s="2">
        <v>97.41</v>
      </c>
      <c r="K191" s="2">
        <v>97.41</v>
      </c>
      <c r="L191" s="2">
        <v>97.41</v>
      </c>
      <c r="M191" s="2">
        <v>97.41</v>
      </c>
      <c r="N191" s="1" t="s">
        <v>36</v>
      </c>
      <c r="O191" s="2">
        <v>1</v>
      </c>
      <c r="P191" s="3">
        <f t="shared" si="4"/>
        <v>73.057500000000005</v>
      </c>
      <c r="Q191" s="3" t="str">
        <f t="shared" si="5"/>
        <v>766548897.41</v>
      </c>
      <c r="R191" t="s">
        <v>139</v>
      </c>
      <c r="S191" t="s">
        <v>60</v>
      </c>
    </row>
    <row r="192" spans="1:20" hidden="1">
      <c r="A192" t="s">
        <v>29</v>
      </c>
      <c r="B192" s="1" t="s">
        <v>280</v>
      </c>
      <c r="C192" s="1" t="s">
        <v>69</v>
      </c>
      <c r="D192" s="1" t="s">
        <v>620</v>
      </c>
      <c r="E192" s="1" t="s">
        <v>392</v>
      </c>
      <c r="F192" s="1" t="s">
        <v>393</v>
      </c>
      <c r="G192" s="1" t="s">
        <v>394</v>
      </c>
      <c r="H192" s="1" t="s">
        <v>606</v>
      </c>
      <c r="I192" s="1">
        <v>46</v>
      </c>
      <c r="J192" s="2">
        <v>18080</v>
      </c>
      <c r="K192" s="2">
        <v>18080</v>
      </c>
      <c r="L192" s="2">
        <v>18080</v>
      </c>
      <c r="M192" s="2">
        <v>18080</v>
      </c>
      <c r="N192" s="1" t="s">
        <v>36</v>
      </c>
      <c r="O192" s="2">
        <v>1</v>
      </c>
      <c r="P192" s="3">
        <f t="shared" si="4"/>
        <v>13560</v>
      </c>
      <c r="Q192" s="3" t="str">
        <f t="shared" si="5"/>
        <v>000207418080</v>
      </c>
      <c r="R192" t="s">
        <v>395</v>
      </c>
      <c r="S192" t="s">
        <v>396</v>
      </c>
      <c r="T192" t="s">
        <v>102</v>
      </c>
    </row>
    <row r="193" spans="1:20" hidden="1">
      <c r="A193" t="s">
        <v>29</v>
      </c>
      <c r="B193" s="1" t="s">
        <v>280</v>
      </c>
      <c r="C193" s="1" t="s">
        <v>69</v>
      </c>
      <c r="D193" s="1" t="s">
        <v>621</v>
      </c>
      <c r="E193" s="1" t="s">
        <v>392</v>
      </c>
      <c r="F193" s="1" t="s">
        <v>393</v>
      </c>
      <c r="G193" s="1" t="s">
        <v>394</v>
      </c>
      <c r="H193" s="1" t="s">
        <v>606</v>
      </c>
      <c r="I193" s="1">
        <v>46</v>
      </c>
      <c r="J193" s="2">
        <v>55370</v>
      </c>
      <c r="K193" s="2">
        <v>55370</v>
      </c>
      <c r="L193" s="2">
        <v>55370</v>
      </c>
      <c r="M193" s="2">
        <v>55370</v>
      </c>
      <c r="N193" s="1" t="s">
        <v>36</v>
      </c>
      <c r="O193" s="2">
        <v>1</v>
      </c>
      <c r="P193" s="3">
        <f t="shared" ref="P193:P256" si="6">IF(N193="CAD",$P$1,1)*M193</f>
        <v>41527.5</v>
      </c>
      <c r="Q193" s="3" t="str">
        <f t="shared" ref="Q193:Q256" si="7">D193&amp;M193</f>
        <v>000207355370</v>
      </c>
      <c r="R193" t="s">
        <v>395</v>
      </c>
      <c r="S193" t="s">
        <v>396</v>
      </c>
      <c r="T193" t="s">
        <v>102</v>
      </c>
    </row>
    <row r="194" spans="1:20" hidden="1">
      <c r="A194" t="s">
        <v>29</v>
      </c>
      <c r="B194" s="1" t="s">
        <v>280</v>
      </c>
      <c r="C194" s="1" t="s">
        <v>69</v>
      </c>
      <c r="D194" s="1" t="s">
        <v>622</v>
      </c>
      <c r="E194" s="1" t="s">
        <v>392</v>
      </c>
      <c r="F194" s="1" t="s">
        <v>393</v>
      </c>
      <c r="G194" s="1" t="s">
        <v>394</v>
      </c>
      <c r="H194" s="1" t="s">
        <v>606</v>
      </c>
      <c r="I194" s="1">
        <v>46</v>
      </c>
      <c r="J194" s="2">
        <v>18080</v>
      </c>
      <c r="K194" s="2">
        <v>18080</v>
      </c>
      <c r="L194" s="2">
        <v>18080</v>
      </c>
      <c r="M194" s="2">
        <v>18080</v>
      </c>
      <c r="N194" s="1" t="s">
        <v>36</v>
      </c>
      <c r="O194" s="2">
        <v>1</v>
      </c>
      <c r="P194" s="3">
        <f t="shared" si="6"/>
        <v>13560</v>
      </c>
      <c r="Q194" s="3" t="str">
        <f t="shared" si="7"/>
        <v>000207218080</v>
      </c>
      <c r="R194" t="s">
        <v>395</v>
      </c>
      <c r="S194" t="s">
        <v>396</v>
      </c>
      <c r="T194" t="s">
        <v>102</v>
      </c>
    </row>
    <row r="195" spans="1:20" hidden="1">
      <c r="A195" t="s">
        <v>29</v>
      </c>
      <c r="B195" s="1" t="s">
        <v>280</v>
      </c>
      <c r="C195" s="1" t="s">
        <v>69</v>
      </c>
      <c r="D195" s="1" t="s">
        <v>623</v>
      </c>
      <c r="E195" s="1" t="s">
        <v>624</v>
      </c>
      <c r="F195" s="1" t="s">
        <v>625</v>
      </c>
      <c r="G195" s="1" t="s">
        <v>626</v>
      </c>
      <c r="H195" s="1" t="s">
        <v>606</v>
      </c>
      <c r="I195" s="1">
        <v>46</v>
      </c>
      <c r="J195" s="2">
        <v>7329.6</v>
      </c>
      <c r="K195" s="2">
        <v>7329.6</v>
      </c>
      <c r="L195" s="2">
        <v>7329.6</v>
      </c>
      <c r="M195" s="2">
        <v>7329.6</v>
      </c>
      <c r="N195" s="1" t="s">
        <v>36</v>
      </c>
      <c r="O195" s="2">
        <v>1</v>
      </c>
      <c r="P195" s="3">
        <f t="shared" si="6"/>
        <v>5497.2000000000007</v>
      </c>
      <c r="Q195" s="3" t="str">
        <f t="shared" si="7"/>
        <v>2087567329.6</v>
      </c>
      <c r="R195" t="s">
        <v>91</v>
      </c>
      <c r="S195" t="s">
        <v>60</v>
      </c>
    </row>
    <row r="196" spans="1:20" hidden="1">
      <c r="A196" t="s">
        <v>29</v>
      </c>
      <c r="B196" s="1" t="s">
        <v>606</v>
      </c>
      <c r="C196" s="1" t="s">
        <v>69</v>
      </c>
      <c r="D196" s="1" t="s">
        <v>627</v>
      </c>
      <c r="E196" s="1" t="s">
        <v>628</v>
      </c>
      <c r="F196" s="1" t="s">
        <v>629</v>
      </c>
      <c r="G196" s="1" t="s">
        <v>630</v>
      </c>
      <c r="H196" s="1" t="s">
        <v>606</v>
      </c>
      <c r="I196" s="1">
        <v>46</v>
      </c>
      <c r="J196" s="2">
        <v>2517.75</v>
      </c>
      <c r="K196" s="2">
        <v>2517.75</v>
      </c>
      <c r="L196" s="2">
        <v>1800</v>
      </c>
      <c r="M196" s="2">
        <v>1800</v>
      </c>
      <c r="N196" s="1" t="s">
        <v>45</v>
      </c>
      <c r="O196" s="2">
        <v>1.3987499999999999</v>
      </c>
      <c r="P196" s="3">
        <f t="shared" si="6"/>
        <v>1800</v>
      </c>
      <c r="Q196" s="3" t="str">
        <f t="shared" si="7"/>
        <v>20251128M091800</v>
      </c>
      <c r="R196" t="s">
        <v>631</v>
      </c>
    </row>
    <row r="197" spans="1:20" hidden="1">
      <c r="A197" t="s">
        <v>29</v>
      </c>
      <c r="B197" s="1" t="s">
        <v>606</v>
      </c>
      <c r="C197" s="1" t="s">
        <v>69</v>
      </c>
      <c r="D197" s="1" t="s">
        <v>632</v>
      </c>
      <c r="E197" s="1" t="s">
        <v>628</v>
      </c>
      <c r="F197" s="1" t="s">
        <v>629</v>
      </c>
      <c r="G197" s="1" t="s">
        <v>633</v>
      </c>
      <c r="H197" s="1" t="s">
        <v>606</v>
      </c>
      <c r="I197" s="1">
        <v>46</v>
      </c>
      <c r="J197" s="2">
        <v>3379.84</v>
      </c>
      <c r="K197" s="2">
        <v>3379.8415875000001</v>
      </c>
      <c r="L197" s="2">
        <v>2416.33</v>
      </c>
      <c r="M197" s="2">
        <v>2416.33</v>
      </c>
      <c r="N197" s="1" t="s">
        <v>45</v>
      </c>
      <c r="O197" s="2">
        <v>1.3987499999999999</v>
      </c>
      <c r="P197" s="3">
        <f t="shared" si="6"/>
        <v>2416.33</v>
      </c>
      <c r="Q197" s="3" t="str">
        <f t="shared" si="7"/>
        <v>20251128M102416.33</v>
      </c>
      <c r="R197" t="s">
        <v>631</v>
      </c>
    </row>
    <row r="198" spans="1:20" hidden="1">
      <c r="A198" t="s">
        <v>29</v>
      </c>
      <c r="B198" s="1" t="s">
        <v>606</v>
      </c>
      <c r="C198" s="1" t="s">
        <v>69</v>
      </c>
      <c r="D198" s="1" t="s">
        <v>634</v>
      </c>
      <c r="E198" s="1" t="s">
        <v>635</v>
      </c>
      <c r="F198" s="1" t="s">
        <v>636</v>
      </c>
      <c r="G198" s="1" t="s">
        <v>637</v>
      </c>
      <c r="H198" s="1" t="s">
        <v>606</v>
      </c>
      <c r="I198" s="1">
        <v>46</v>
      </c>
      <c r="J198" s="2">
        <v>789.27</v>
      </c>
      <c r="K198" s="2">
        <v>789.26971577999996</v>
      </c>
      <c r="L198" s="2">
        <v>984.93</v>
      </c>
      <c r="M198" s="2">
        <v>984.93</v>
      </c>
      <c r="N198" s="1" t="s">
        <v>638</v>
      </c>
      <c r="O198" s="2">
        <v>0.801346</v>
      </c>
      <c r="P198" s="3">
        <f t="shared" si="6"/>
        <v>984.93</v>
      </c>
      <c r="Q198" s="3" t="str">
        <f t="shared" si="7"/>
        <v>INV-0023984.93</v>
      </c>
    </row>
    <row r="199" spans="1:20" hidden="1">
      <c r="A199" t="s">
        <v>29</v>
      </c>
      <c r="B199" s="1" t="s">
        <v>293</v>
      </c>
      <c r="C199" s="1" t="s">
        <v>69</v>
      </c>
      <c r="D199" s="1" t="s">
        <v>639</v>
      </c>
      <c r="E199" s="1" t="s">
        <v>392</v>
      </c>
      <c r="F199" s="1" t="s">
        <v>393</v>
      </c>
      <c r="G199" s="1" t="s">
        <v>398</v>
      </c>
      <c r="H199" s="1" t="s">
        <v>640</v>
      </c>
      <c r="I199" s="1">
        <v>45</v>
      </c>
      <c r="J199" s="2">
        <v>18080</v>
      </c>
      <c r="K199" s="2">
        <v>18080</v>
      </c>
      <c r="L199" s="2">
        <v>18080</v>
      </c>
      <c r="M199" s="2">
        <v>18080</v>
      </c>
      <c r="N199" s="1" t="s">
        <v>36</v>
      </c>
      <c r="O199" s="2">
        <v>1</v>
      </c>
      <c r="P199" s="3">
        <f t="shared" si="6"/>
        <v>13560</v>
      </c>
      <c r="Q199" s="3" t="str">
        <f t="shared" si="7"/>
        <v>000207518080</v>
      </c>
      <c r="R199" t="s">
        <v>399</v>
      </c>
    </row>
    <row r="200" spans="1:20" hidden="1">
      <c r="A200" t="s">
        <v>29</v>
      </c>
      <c r="B200" s="1" t="s">
        <v>293</v>
      </c>
      <c r="C200" s="1" t="s">
        <v>69</v>
      </c>
      <c r="D200" s="1" t="s">
        <v>641</v>
      </c>
      <c r="E200" s="1" t="s">
        <v>392</v>
      </c>
      <c r="F200" s="1" t="s">
        <v>393</v>
      </c>
      <c r="G200" s="1" t="s">
        <v>401</v>
      </c>
      <c r="H200" s="1" t="s">
        <v>640</v>
      </c>
      <c r="I200" s="1">
        <v>45</v>
      </c>
      <c r="J200" s="2">
        <v>14464</v>
      </c>
      <c r="K200" s="2">
        <v>14464</v>
      </c>
      <c r="L200" s="2">
        <v>14464</v>
      </c>
      <c r="M200" s="2">
        <v>14464</v>
      </c>
      <c r="N200" s="1" t="s">
        <v>36</v>
      </c>
      <c r="O200" s="2">
        <v>1</v>
      </c>
      <c r="P200" s="3">
        <f t="shared" si="6"/>
        <v>10848</v>
      </c>
      <c r="Q200" s="3" t="str">
        <f t="shared" si="7"/>
        <v>000207614464</v>
      </c>
      <c r="R200" t="s">
        <v>166</v>
      </c>
    </row>
    <row r="201" spans="1:20" hidden="1">
      <c r="A201" t="s">
        <v>29</v>
      </c>
      <c r="B201" s="1" t="s">
        <v>293</v>
      </c>
      <c r="C201" s="1" t="s">
        <v>69</v>
      </c>
      <c r="D201" s="1" t="s">
        <v>642</v>
      </c>
      <c r="E201" s="1" t="s">
        <v>334</v>
      </c>
      <c r="F201" s="1" t="s">
        <v>335</v>
      </c>
      <c r="G201" s="1" t="s">
        <v>643</v>
      </c>
      <c r="H201" s="1" t="s">
        <v>640</v>
      </c>
      <c r="I201" s="1">
        <v>45</v>
      </c>
      <c r="J201" s="2">
        <v>16565.82</v>
      </c>
      <c r="K201" s="2">
        <v>16565.822862749999</v>
      </c>
      <c r="L201" s="2">
        <v>11842.67</v>
      </c>
      <c r="M201" s="2">
        <v>11842.67</v>
      </c>
      <c r="N201" s="1" t="s">
        <v>45</v>
      </c>
      <c r="O201" s="2">
        <v>1.398825</v>
      </c>
      <c r="P201" s="3">
        <f t="shared" si="6"/>
        <v>11842.67</v>
      </c>
      <c r="Q201" s="3" t="str">
        <f t="shared" si="7"/>
        <v>290839341711842.67</v>
      </c>
      <c r="R201" t="s">
        <v>91</v>
      </c>
      <c r="S201" t="s">
        <v>60</v>
      </c>
      <c r="T201" t="s">
        <v>102</v>
      </c>
    </row>
    <row r="202" spans="1:20" hidden="1">
      <c r="A202" t="s">
        <v>29</v>
      </c>
      <c r="B202" s="1" t="s">
        <v>293</v>
      </c>
      <c r="C202" s="1" t="s">
        <v>69</v>
      </c>
      <c r="D202" s="1" t="s">
        <v>644</v>
      </c>
      <c r="E202" s="1" t="s">
        <v>93</v>
      </c>
      <c r="F202" s="1" t="s">
        <v>94</v>
      </c>
      <c r="G202" s="1" t="s">
        <v>645</v>
      </c>
      <c r="H202" s="1" t="s">
        <v>640</v>
      </c>
      <c r="I202" s="1">
        <v>45</v>
      </c>
      <c r="J202" s="2">
        <v>323674.12</v>
      </c>
      <c r="K202" s="2">
        <v>323674.11674999999</v>
      </c>
      <c r="L202" s="2">
        <v>231390</v>
      </c>
      <c r="M202" s="2">
        <v>231390</v>
      </c>
      <c r="N202" s="1" t="s">
        <v>45</v>
      </c>
      <c r="O202" s="2">
        <v>1.398825</v>
      </c>
      <c r="P202" s="3">
        <f t="shared" si="6"/>
        <v>231390</v>
      </c>
      <c r="Q202" s="3" t="str">
        <f t="shared" si="7"/>
        <v>639438231390</v>
      </c>
      <c r="R202" t="s">
        <v>91</v>
      </c>
      <c r="S202" t="s">
        <v>60</v>
      </c>
      <c r="T202" t="s">
        <v>102</v>
      </c>
    </row>
    <row r="203" spans="1:20" hidden="1">
      <c r="A203" t="s">
        <v>29</v>
      </c>
      <c r="B203" s="1" t="s">
        <v>293</v>
      </c>
      <c r="C203" s="1" t="s">
        <v>69</v>
      </c>
      <c r="D203" s="1" t="s">
        <v>646</v>
      </c>
      <c r="E203" s="1" t="s">
        <v>580</v>
      </c>
      <c r="F203" s="1" t="s">
        <v>581</v>
      </c>
      <c r="G203" s="1" t="s">
        <v>647</v>
      </c>
      <c r="H203" s="1" t="s">
        <v>640</v>
      </c>
      <c r="I203" s="1">
        <v>45</v>
      </c>
      <c r="J203" s="2">
        <v>468.34</v>
      </c>
      <c r="K203" s="2">
        <v>468.34059825000003</v>
      </c>
      <c r="L203" s="2">
        <v>334.81</v>
      </c>
      <c r="M203" s="2">
        <v>334.81</v>
      </c>
      <c r="N203" s="1" t="s">
        <v>45</v>
      </c>
      <c r="O203" s="2">
        <v>1.398825</v>
      </c>
      <c r="P203" s="3">
        <f t="shared" si="6"/>
        <v>334.81</v>
      </c>
      <c r="Q203" s="3" t="str">
        <f t="shared" si="7"/>
        <v>130779334.81</v>
      </c>
      <c r="R203" t="s">
        <v>74</v>
      </c>
      <c r="S203" t="s">
        <v>60</v>
      </c>
      <c r="T203" t="s">
        <v>102</v>
      </c>
    </row>
    <row r="204" spans="1:20" hidden="1">
      <c r="A204" t="s">
        <v>29</v>
      </c>
      <c r="B204" s="1" t="s">
        <v>293</v>
      </c>
      <c r="C204" s="1" t="s">
        <v>69</v>
      </c>
      <c r="D204" s="1" t="s">
        <v>648</v>
      </c>
      <c r="E204" s="1" t="s">
        <v>580</v>
      </c>
      <c r="F204" s="1" t="s">
        <v>581</v>
      </c>
      <c r="G204" s="1" t="s">
        <v>649</v>
      </c>
      <c r="H204" s="1" t="s">
        <v>640</v>
      </c>
      <c r="I204" s="1">
        <v>45</v>
      </c>
      <c r="J204" s="2">
        <v>69237.460000000006</v>
      </c>
      <c r="K204" s="2">
        <v>69237.459177750003</v>
      </c>
      <c r="L204" s="2">
        <v>49496.87</v>
      </c>
      <c r="M204" s="2">
        <v>49496.87</v>
      </c>
      <c r="N204" s="1" t="s">
        <v>45</v>
      </c>
      <c r="O204" s="2">
        <v>1.398825</v>
      </c>
      <c r="P204" s="3">
        <f t="shared" si="6"/>
        <v>49496.87</v>
      </c>
      <c r="Q204" s="3" t="str">
        <f t="shared" si="7"/>
        <v>13076349496.87</v>
      </c>
      <c r="R204" t="s">
        <v>74</v>
      </c>
      <c r="S204" t="s">
        <v>60</v>
      </c>
      <c r="T204" t="s">
        <v>102</v>
      </c>
    </row>
    <row r="205" spans="1:20" hidden="1">
      <c r="A205" t="s">
        <v>29</v>
      </c>
      <c r="B205" s="1" t="s">
        <v>293</v>
      </c>
      <c r="C205" s="1" t="s">
        <v>69</v>
      </c>
      <c r="D205" s="1" t="s">
        <v>650</v>
      </c>
      <c r="E205" s="1" t="s">
        <v>580</v>
      </c>
      <c r="F205" s="1" t="s">
        <v>581</v>
      </c>
      <c r="G205" s="1" t="s">
        <v>651</v>
      </c>
      <c r="H205" s="1" t="s">
        <v>640</v>
      </c>
      <c r="I205" s="1">
        <v>45</v>
      </c>
      <c r="J205" s="2">
        <v>4583.95</v>
      </c>
      <c r="K205" s="2">
        <v>4583.949525</v>
      </c>
      <c r="L205" s="2">
        <v>3277</v>
      </c>
      <c r="M205" s="2">
        <v>3277</v>
      </c>
      <c r="N205" s="1" t="s">
        <v>45</v>
      </c>
      <c r="O205" s="2">
        <v>1.398825</v>
      </c>
      <c r="P205" s="3">
        <f t="shared" si="6"/>
        <v>3277</v>
      </c>
      <c r="Q205" s="3" t="str">
        <f t="shared" si="7"/>
        <v>1307583277</v>
      </c>
      <c r="R205" t="s">
        <v>74</v>
      </c>
      <c r="S205" t="s">
        <v>60</v>
      </c>
      <c r="T205" t="s">
        <v>102</v>
      </c>
    </row>
    <row r="206" spans="1:20" hidden="1">
      <c r="A206" t="s">
        <v>29</v>
      </c>
      <c r="B206" s="1" t="s">
        <v>293</v>
      </c>
      <c r="C206" s="1" t="s">
        <v>69</v>
      </c>
      <c r="D206" s="1" t="s">
        <v>652</v>
      </c>
      <c r="E206" s="1" t="s">
        <v>580</v>
      </c>
      <c r="F206" s="1" t="s">
        <v>581</v>
      </c>
      <c r="G206" s="1" t="s">
        <v>653</v>
      </c>
      <c r="H206" s="1" t="s">
        <v>640</v>
      </c>
      <c r="I206" s="1">
        <v>45</v>
      </c>
      <c r="J206" s="2">
        <v>4318.47</v>
      </c>
      <c r="K206" s="2">
        <v>4318.46652825</v>
      </c>
      <c r="L206" s="2">
        <v>3087.21</v>
      </c>
      <c r="M206" s="2">
        <v>3087.21</v>
      </c>
      <c r="N206" s="1" t="s">
        <v>45</v>
      </c>
      <c r="O206" s="2">
        <v>1.398825</v>
      </c>
      <c r="P206" s="3">
        <f t="shared" si="6"/>
        <v>3087.21</v>
      </c>
      <c r="Q206" s="3" t="str">
        <f t="shared" si="7"/>
        <v>1307573087.21</v>
      </c>
      <c r="R206" t="s">
        <v>74</v>
      </c>
      <c r="S206" t="s">
        <v>60</v>
      </c>
      <c r="T206" t="s">
        <v>102</v>
      </c>
    </row>
    <row r="207" spans="1:20" hidden="1">
      <c r="A207" t="s">
        <v>29</v>
      </c>
      <c r="B207" s="1" t="s">
        <v>293</v>
      </c>
      <c r="C207" s="1" t="s">
        <v>69</v>
      </c>
      <c r="D207" s="1" t="s">
        <v>654</v>
      </c>
      <c r="E207" s="1" t="s">
        <v>334</v>
      </c>
      <c r="F207" s="1" t="s">
        <v>335</v>
      </c>
      <c r="G207" s="1" t="s">
        <v>655</v>
      </c>
      <c r="H207" s="1" t="s">
        <v>640</v>
      </c>
      <c r="I207" s="1">
        <v>45</v>
      </c>
      <c r="J207" s="2">
        <v>35698.01</v>
      </c>
      <c r="K207" s="2">
        <v>35698.014000000003</v>
      </c>
      <c r="L207" s="2">
        <v>25520</v>
      </c>
      <c r="M207" s="2">
        <v>25520</v>
      </c>
      <c r="N207" s="1" t="s">
        <v>45</v>
      </c>
      <c r="O207" s="2">
        <v>1.398825</v>
      </c>
      <c r="P207" s="3">
        <f t="shared" si="6"/>
        <v>25520</v>
      </c>
      <c r="Q207" s="3" t="str">
        <f t="shared" si="7"/>
        <v>190967577025520</v>
      </c>
      <c r="R207" t="s">
        <v>91</v>
      </c>
      <c r="S207" t="s">
        <v>60</v>
      </c>
      <c r="T207" t="s">
        <v>102</v>
      </c>
    </row>
    <row r="208" spans="1:20" hidden="1">
      <c r="A208" t="s">
        <v>29</v>
      </c>
      <c r="B208" s="1" t="s">
        <v>293</v>
      </c>
      <c r="C208" s="1" t="s">
        <v>69</v>
      </c>
      <c r="D208" s="1" t="s">
        <v>656</v>
      </c>
      <c r="E208" s="1" t="s">
        <v>334</v>
      </c>
      <c r="F208" s="1" t="s">
        <v>335</v>
      </c>
      <c r="G208" s="1" t="s">
        <v>655</v>
      </c>
      <c r="H208" s="1" t="s">
        <v>640</v>
      </c>
      <c r="I208" s="1">
        <v>45</v>
      </c>
      <c r="J208" s="2">
        <v>61324.49</v>
      </c>
      <c r="K208" s="2">
        <v>61324.487999999998</v>
      </c>
      <c r="L208" s="2">
        <v>43840</v>
      </c>
      <c r="M208" s="2">
        <v>43840</v>
      </c>
      <c r="N208" s="1" t="s">
        <v>45</v>
      </c>
      <c r="O208" s="2">
        <v>1.398825</v>
      </c>
      <c r="P208" s="3">
        <f t="shared" si="6"/>
        <v>43840</v>
      </c>
      <c r="Q208" s="3" t="str">
        <f t="shared" si="7"/>
        <v>190967626343840</v>
      </c>
      <c r="R208" t="s">
        <v>91</v>
      </c>
      <c r="S208" t="s">
        <v>60</v>
      </c>
      <c r="T208" t="s">
        <v>102</v>
      </c>
    </row>
    <row r="209" spans="1:28" hidden="1">
      <c r="A209" t="s">
        <v>29</v>
      </c>
      <c r="B209" s="1" t="s">
        <v>293</v>
      </c>
      <c r="C209" s="1" t="s">
        <v>69</v>
      </c>
      <c r="D209" s="1" t="s">
        <v>657</v>
      </c>
      <c r="E209" s="1" t="s">
        <v>334</v>
      </c>
      <c r="F209" s="1" t="s">
        <v>335</v>
      </c>
      <c r="G209" s="1" t="s">
        <v>655</v>
      </c>
      <c r="H209" s="1" t="s">
        <v>640</v>
      </c>
      <c r="I209" s="1">
        <v>45</v>
      </c>
      <c r="J209" s="2">
        <v>29878.9</v>
      </c>
      <c r="K209" s="2">
        <v>29878.901999999998</v>
      </c>
      <c r="L209" s="2">
        <v>21360</v>
      </c>
      <c r="M209" s="2">
        <v>21360</v>
      </c>
      <c r="N209" s="1" t="s">
        <v>45</v>
      </c>
      <c r="O209" s="2">
        <v>1.398825</v>
      </c>
      <c r="P209" s="3">
        <f t="shared" si="6"/>
        <v>21360</v>
      </c>
      <c r="Q209" s="3" t="str">
        <f t="shared" si="7"/>
        <v>190967775821360</v>
      </c>
      <c r="R209" t="s">
        <v>91</v>
      </c>
      <c r="S209" t="s">
        <v>60</v>
      </c>
      <c r="T209" t="s">
        <v>102</v>
      </c>
    </row>
    <row r="210" spans="1:28" hidden="1">
      <c r="A210" t="s">
        <v>29</v>
      </c>
      <c r="B210" s="1" t="s">
        <v>96</v>
      </c>
      <c r="C210" s="1" t="s">
        <v>69</v>
      </c>
      <c r="D210" s="1" t="s">
        <v>658</v>
      </c>
      <c r="E210" s="1" t="s">
        <v>471</v>
      </c>
      <c r="F210" s="1" t="s">
        <v>472</v>
      </c>
      <c r="G210" s="1" t="s">
        <v>659</v>
      </c>
      <c r="H210" s="1" t="s">
        <v>640</v>
      </c>
      <c r="I210" s="1">
        <v>45</v>
      </c>
      <c r="J210" s="2">
        <v>245928.99</v>
      </c>
      <c r="K210" s="2">
        <v>245928.99</v>
      </c>
      <c r="L210" s="2">
        <v>245928.99</v>
      </c>
      <c r="M210" s="2">
        <v>245928.99</v>
      </c>
      <c r="N210" s="1" t="s">
        <v>36</v>
      </c>
      <c r="O210" s="2">
        <v>1</v>
      </c>
      <c r="P210" s="3">
        <f t="shared" si="6"/>
        <v>184446.74249999999</v>
      </c>
      <c r="Q210" s="3" t="str">
        <f t="shared" si="7"/>
        <v>281125245928.99</v>
      </c>
      <c r="R210" t="s">
        <v>202</v>
      </c>
      <c r="S210" t="s">
        <v>60</v>
      </c>
    </row>
    <row r="211" spans="1:28" hidden="1">
      <c r="A211" t="s">
        <v>29</v>
      </c>
      <c r="B211" s="1" t="s">
        <v>173</v>
      </c>
      <c r="C211" s="1" t="s">
        <v>69</v>
      </c>
      <c r="D211" s="1" t="s">
        <v>660</v>
      </c>
      <c r="E211" s="1" t="s">
        <v>661</v>
      </c>
      <c r="F211" s="1" t="s">
        <v>662</v>
      </c>
      <c r="G211" s="1" t="s">
        <v>663</v>
      </c>
      <c r="H211" s="1" t="s">
        <v>664</v>
      </c>
      <c r="I211" s="1">
        <v>44</v>
      </c>
      <c r="J211" s="2">
        <v>2975.09</v>
      </c>
      <c r="K211" s="2">
        <v>2975.0862240000001</v>
      </c>
      <c r="L211" s="2">
        <v>2134</v>
      </c>
      <c r="M211" s="2">
        <v>2134</v>
      </c>
      <c r="N211" s="1" t="s">
        <v>45</v>
      </c>
      <c r="O211" s="2">
        <v>1.394136</v>
      </c>
      <c r="P211" s="3">
        <f t="shared" si="6"/>
        <v>2134</v>
      </c>
      <c r="Q211" s="3" t="str">
        <f t="shared" si="7"/>
        <v>I256021672134</v>
      </c>
      <c r="R211" t="s">
        <v>139</v>
      </c>
      <c r="S211" t="s">
        <v>665</v>
      </c>
    </row>
    <row r="212" spans="1:28" hidden="1">
      <c r="A212" t="s">
        <v>29</v>
      </c>
      <c r="B212" s="1" t="s">
        <v>493</v>
      </c>
      <c r="C212" s="1" t="s">
        <v>69</v>
      </c>
      <c r="D212" s="1" t="s">
        <v>666</v>
      </c>
      <c r="E212" s="1" t="s">
        <v>661</v>
      </c>
      <c r="F212" s="1" t="s">
        <v>662</v>
      </c>
      <c r="G212" s="1" t="s">
        <v>663</v>
      </c>
      <c r="H212" s="1" t="s">
        <v>664</v>
      </c>
      <c r="I212" s="1">
        <v>44</v>
      </c>
      <c r="J212" s="2">
        <v>1412.63</v>
      </c>
      <c r="K212" s="2">
        <v>1412.6310129999999</v>
      </c>
      <c r="L212" s="2">
        <v>1005.8</v>
      </c>
      <c r="M212" s="2">
        <v>1005.8</v>
      </c>
      <c r="N212" s="1" t="s">
        <v>45</v>
      </c>
      <c r="O212" s="2">
        <v>1.404485</v>
      </c>
      <c r="P212" s="3">
        <f t="shared" si="6"/>
        <v>1005.8</v>
      </c>
      <c r="Q212" s="3" t="str">
        <f t="shared" si="7"/>
        <v>TTLOG-811005.8</v>
      </c>
      <c r="R212" t="s">
        <v>139</v>
      </c>
      <c r="S212" t="s">
        <v>665</v>
      </c>
    </row>
    <row r="213" spans="1:28" hidden="1">
      <c r="A213" t="s">
        <v>29</v>
      </c>
      <c r="B213" s="1" t="s">
        <v>301</v>
      </c>
      <c r="C213" s="1" t="s">
        <v>69</v>
      </c>
      <c r="D213" s="1" t="s">
        <v>667</v>
      </c>
      <c r="E213" s="1" t="s">
        <v>334</v>
      </c>
      <c r="F213" s="1" t="s">
        <v>335</v>
      </c>
      <c r="G213" s="1" t="s">
        <v>655</v>
      </c>
      <c r="H213" s="1" t="s">
        <v>664</v>
      </c>
      <c r="I213" s="1">
        <v>44</v>
      </c>
      <c r="J213" s="2">
        <v>59114.64</v>
      </c>
      <c r="K213" s="2">
        <v>59114.642399999997</v>
      </c>
      <c r="L213" s="2">
        <v>42064</v>
      </c>
      <c r="M213" s="2">
        <v>42064</v>
      </c>
      <c r="N213" s="1" t="s">
        <v>45</v>
      </c>
      <c r="O213" s="2">
        <v>1.4053500000000001</v>
      </c>
      <c r="P213" s="3">
        <f t="shared" si="6"/>
        <v>42064</v>
      </c>
      <c r="Q213" s="3" t="str">
        <f t="shared" si="7"/>
        <v>190967842742064</v>
      </c>
      <c r="R213" t="s">
        <v>91</v>
      </c>
      <c r="S213" t="s">
        <v>60</v>
      </c>
      <c r="T213" t="s">
        <v>102</v>
      </c>
    </row>
    <row r="214" spans="1:28" hidden="1">
      <c r="A214" t="s">
        <v>29</v>
      </c>
      <c r="B214" s="1" t="s">
        <v>301</v>
      </c>
      <c r="C214" s="1" t="s">
        <v>69</v>
      </c>
      <c r="D214" s="1" t="s">
        <v>668</v>
      </c>
      <c r="E214" s="1" t="s">
        <v>580</v>
      </c>
      <c r="F214" s="1" t="s">
        <v>581</v>
      </c>
      <c r="G214" s="1" t="s">
        <v>669</v>
      </c>
      <c r="H214" s="1" t="s">
        <v>664</v>
      </c>
      <c r="I214" s="1">
        <v>44</v>
      </c>
      <c r="J214" s="2">
        <v>1411.56</v>
      </c>
      <c r="K214" s="2">
        <v>1411.561647</v>
      </c>
      <c r="L214" s="2">
        <v>1004.42</v>
      </c>
      <c r="M214" s="2">
        <v>1004.42</v>
      </c>
      <c r="N214" s="1" t="s">
        <v>45</v>
      </c>
      <c r="O214" s="2">
        <v>1.4053500000000001</v>
      </c>
      <c r="P214" s="3">
        <f t="shared" si="6"/>
        <v>1004.42</v>
      </c>
      <c r="Q214" s="3" t="str">
        <f t="shared" si="7"/>
        <v>1308911004.42</v>
      </c>
      <c r="R214" t="s">
        <v>74</v>
      </c>
      <c r="S214" t="s">
        <v>60</v>
      </c>
      <c r="T214" t="s">
        <v>102</v>
      </c>
    </row>
    <row r="215" spans="1:28" hidden="1">
      <c r="A215" t="s">
        <v>29</v>
      </c>
      <c r="B215" s="1" t="s">
        <v>301</v>
      </c>
      <c r="C215" s="1" t="s">
        <v>69</v>
      </c>
      <c r="D215" s="1" t="s">
        <v>670</v>
      </c>
      <c r="E215" s="1" t="s">
        <v>580</v>
      </c>
      <c r="F215" s="1" t="s">
        <v>581</v>
      </c>
      <c r="G215" s="1" t="s">
        <v>582</v>
      </c>
      <c r="H215" s="1" t="s">
        <v>664</v>
      </c>
      <c r="I215" s="1">
        <v>44</v>
      </c>
      <c r="J215" s="2">
        <v>14648.29</v>
      </c>
      <c r="K215" s="2">
        <v>14648.2862805</v>
      </c>
      <c r="L215" s="2">
        <v>10423.23</v>
      </c>
      <c r="M215" s="2">
        <v>10423.23</v>
      </c>
      <c r="N215" s="1" t="s">
        <v>45</v>
      </c>
      <c r="O215" s="2">
        <v>1.4053500000000001</v>
      </c>
      <c r="P215" s="3">
        <f t="shared" si="6"/>
        <v>10423.23</v>
      </c>
      <c r="Q215" s="3" t="str">
        <f t="shared" si="7"/>
        <v>13089010423.23</v>
      </c>
      <c r="R215" t="s">
        <v>74</v>
      </c>
      <c r="S215" t="s">
        <v>60</v>
      </c>
      <c r="T215" t="s">
        <v>102</v>
      </c>
    </row>
    <row r="216" spans="1:28" hidden="1">
      <c r="A216" t="s">
        <v>29</v>
      </c>
      <c r="B216" s="1" t="s">
        <v>301</v>
      </c>
      <c r="C216" s="1" t="s">
        <v>69</v>
      </c>
      <c r="D216" s="1" t="s">
        <v>671</v>
      </c>
      <c r="E216" s="1" t="s">
        <v>303</v>
      </c>
      <c r="F216" s="1" t="s">
        <v>304</v>
      </c>
      <c r="G216" s="1" t="s">
        <v>672</v>
      </c>
      <c r="H216" s="1" t="s">
        <v>664</v>
      </c>
      <c r="I216" s="1">
        <v>44</v>
      </c>
      <c r="J216" s="2">
        <v>3700.75</v>
      </c>
      <c r="K216" s="2">
        <v>3700.75</v>
      </c>
      <c r="L216" s="2">
        <v>3700.75</v>
      </c>
      <c r="M216" s="2">
        <v>3700.75</v>
      </c>
      <c r="N216" s="1" t="s">
        <v>36</v>
      </c>
      <c r="O216" s="2">
        <v>1</v>
      </c>
      <c r="P216" s="3">
        <f t="shared" si="6"/>
        <v>2775.5625</v>
      </c>
      <c r="Q216" s="3" t="str">
        <f t="shared" si="7"/>
        <v>912520163700.75</v>
      </c>
      <c r="R216" t="s">
        <v>306</v>
      </c>
      <c r="S216" t="s">
        <v>60</v>
      </c>
    </row>
    <row r="217" spans="1:28" hidden="1">
      <c r="A217" t="s">
        <v>29</v>
      </c>
      <c r="B217" s="1" t="s">
        <v>301</v>
      </c>
      <c r="C217" s="1" t="s">
        <v>69</v>
      </c>
      <c r="D217" s="1" t="s">
        <v>673</v>
      </c>
      <c r="E217" s="1" t="s">
        <v>303</v>
      </c>
      <c r="F217" s="1" t="s">
        <v>304</v>
      </c>
      <c r="G217" s="1" t="s">
        <v>674</v>
      </c>
      <c r="H217" s="1" t="s">
        <v>664</v>
      </c>
      <c r="I217" s="1">
        <v>44</v>
      </c>
      <c r="J217" s="2">
        <v>9379</v>
      </c>
      <c r="K217" s="2">
        <v>9379</v>
      </c>
      <c r="L217" s="2">
        <v>9379</v>
      </c>
      <c r="M217" s="2">
        <v>9379</v>
      </c>
      <c r="N217" s="1" t="s">
        <v>36</v>
      </c>
      <c r="O217" s="2">
        <v>1</v>
      </c>
      <c r="P217" s="3">
        <f t="shared" si="6"/>
        <v>7034.25</v>
      </c>
      <c r="Q217" s="3" t="str">
        <f t="shared" si="7"/>
        <v>912503719379</v>
      </c>
      <c r="R217" t="s">
        <v>306</v>
      </c>
      <c r="S217" t="s">
        <v>60</v>
      </c>
    </row>
    <row r="218" spans="1:28" hidden="1">
      <c r="A218" t="s">
        <v>29</v>
      </c>
      <c r="B218" s="1" t="s">
        <v>301</v>
      </c>
      <c r="C218" s="1" t="s">
        <v>69</v>
      </c>
      <c r="D218" s="1" t="s">
        <v>675</v>
      </c>
      <c r="E218" s="1" t="s">
        <v>392</v>
      </c>
      <c r="F218" s="1" t="s">
        <v>393</v>
      </c>
      <c r="G218" s="1" t="s">
        <v>394</v>
      </c>
      <c r="H218" s="1" t="s">
        <v>664</v>
      </c>
      <c r="I218" s="1">
        <v>44</v>
      </c>
      <c r="J218" s="2">
        <v>20792</v>
      </c>
      <c r="K218" s="2">
        <v>20792</v>
      </c>
      <c r="L218" s="2">
        <v>20792</v>
      </c>
      <c r="M218" s="2">
        <v>20792</v>
      </c>
      <c r="N218" s="1" t="s">
        <v>36</v>
      </c>
      <c r="O218" s="2">
        <v>1</v>
      </c>
      <c r="P218" s="3">
        <f t="shared" si="6"/>
        <v>15594</v>
      </c>
      <c r="Q218" s="3" t="str">
        <f t="shared" si="7"/>
        <v>000207720792</v>
      </c>
      <c r="R218" t="s">
        <v>395</v>
      </c>
      <c r="S218" t="s">
        <v>396</v>
      </c>
      <c r="T218" t="s">
        <v>102</v>
      </c>
    </row>
    <row r="219" spans="1:28" hidden="1">
      <c r="A219" t="s">
        <v>29</v>
      </c>
      <c r="B219" s="1" t="s">
        <v>301</v>
      </c>
      <c r="C219" s="1" t="s">
        <v>69</v>
      </c>
      <c r="D219" s="1" t="s">
        <v>676</v>
      </c>
      <c r="E219" s="1" t="s">
        <v>584</v>
      </c>
      <c r="F219" s="1" t="s">
        <v>585</v>
      </c>
      <c r="G219" s="1" t="s">
        <v>586</v>
      </c>
      <c r="H219" s="1" t="s">
        <v>664</v>
      </c>
      <c r="I219" s="1">
        <v>44</v>
      </c>
      <c r="J219" s="2">
        <v>97.41</v>
      </c>
      <c r="K219" s="2">
        <v>97.41</v>
      </c>
      <c r="L219" s="2">
        <v>97.41</v>
      </c>
      <c r="M219" s="2">
        <v>97.41</v>
      </c>
      <c r="N219" s="1" t="s">
        <v>36</v>
      </c>
      <c r="O219" s="2">
        <v>1</v>
      </c>
      <c r="P219" s="3">
        <f t="shared" si="6"/>
        <v>73.057500000000005</v>
      </c>
      <c r="Q219" s="3" t="str">
        <f t="shared" si="7"/>
        <v>767490997.41</v>
      </c>
      <c r="R219" t="s">
        <v>139</v>
      </c>
      <c r="S219" t="s">
        <v>60</v>
      </c>
    </row>
    <row r="220" spans="1:28" hidden="1">
      <c r="A220" t="s">
        <v>29</v>
      </c>
      <c r="B220" s="1" t="s">
        <v>301</v>
      </c>
      <c r="C220" s="1" t="s">
        <v>69</v>
      </c>
      <c r="D220" s="1" t="s">
        <v>677</v>
      </c>
      <c r="E220" s="1" t="s">
        <v>584</v>
      </c>
      <c r="F220" s="1" t="s">
        <v>585</v>
      </c>
      <c r="G220" s="1" t="s">
        <v>586</v>
      </c>
      <c r="H220" s="1" t="s">
        <v>664</v>
      </c>
      <c r="I220" s="1">
        <v>44</v>
      </c>
      <c r="J220" s="2">
        <v>97.41</v>
      </c>
      <c r="K220" s="2">
        <v>97.41</v>
      </c>
      <c r="L220" s="2">
        <v>97.41</v>
      </c>
      <c r="M220" s="2">
        <v>97.41</v>
      </c>
      <c r="N220" s="1" t="s">
        <v>36</v>
      </c>
      <c r="O220" s="2">
        <v>1</v>
      </c>
      <c r="P220" s="3">
        <f t="shared" si="6"/>
        <v>73.057500000000005</v>
      </c>
      <c r="Q220" s="3" t="str">
        <f t="shared" si="7"/>
        <v>767546497.41</v>
      </c>
      <c r="R220" t="s">
        <v>139</v>
      </c>
      <c r="S220" t="s">
        <v>60</v>
      </c>
    </row>
    <row r="221" spans="1:28" hidden="1">
      <c r="A221" t="s">
        <v>29</v>
      </c>
      <c r="B221" s="1" t="s">
        <v>301</v>
      </c>
      <c r="C221" s="1" t="s">
        <v>69</v>
      </c>
      <c r="D221" s="1" t="s">
        <v>678</v>
      </c>
      <c r="E221" s="1" t="s">
        <v>584</v>
      </c>
      <c r="F221" s="1" t="s">
        <v>585</v>
      </c>
      <c r="G221" s="1" t="s">
        <v>586</v>
      </c>
      <c r="H221" s="1" t="s">
        <v>664</v>
      </c>
      <c r="I221" s="1">
        <v>44</v>
      </c>
      <c r="J221" s="2">
        <v>97.41</v>
      </c>
      <c r="K221" s="2">
        <v>97.41</v>
      </c>
      <c r="L221" s="2">
        <v>97.41</v>
      </c>
      <c r="M221" s="2">
        <v>97.41</v>
      </c>
      <c r="N221" s="1" t="s">
        <v>36</v>
      </c>
      <c r="O221" s="2">
        <v>1</v>
      </c>
      <c r="P221" s="3">
        <f t="shared" si="6"/>
        <v>73.057500000000005</v>
      </c>
      <c r="Q221" s="3" t="str">
        <f t="shared" si="7"/>
        <v>767491097.41</v>
      </c>
      <c r="R221" t="s">
        <v>139</v>
      </c>
      <c r="S221" t="s">
        <v>60</v>
      </c>
    </row>
    <row r="222" spans="1:28" hidden="1">
      <c r="A222" t="s">
        <v>29</v>
      </c>
      <c r="B222" s="1" t="s">
        <v>301</v>
      </c>
      <c r="C222" s="1" t="s">
        <v>69</v>
      </c>
      <c r="D222" s="1" t="s">
        <v>679</v>
      </c>
      <c r="E222" s="1" t="s">
        <v>584</v>
      </c>
      <c r="F222" s="1" t="s">
        <v>585</v>
      </c>
      <c r="G222" s="1" t="s">
        <v>586</v>
      </c>
      <c r="H222" s="1" t="s">
        <v>664</v>
      </c>
      <c r="I222" s="1">
        <v>44</v>
      </c>
      <c r="J222" s="2">
        <v>97.41</v>
      </c>
      <c r="K222" s="2">
        <v>97.41</v>
      </c>
      <c r="L222" s="2">
        <v>97.41</v>
      </c>
      <c r="M222" s="2">
        <v>97.41</v>
      </c>
      <c r="N222" s="1" t="s">
        <v>36</v>
      </c>
      <c r="O222" s="2">
        <v>1</v>
      </c>
      <c r="P222" s="3">
        <f t="shared" si="6"/>
        <v>73.057500000000005</v>
      </c>
      <c r="Q222" s="3" t="str">
        <f t="shared" si="7"/>
        <v>767489697.41</v>
      </c>
      <c r="R222" t="s">
        <v>139</v>
      </c>
      <c r="S222" t="s">
        <v>60</v>
      </c>
    </row>
    <row r="223" spans="1:28" hidden="1">
      <c r="A223" t="s">
        <v>29</v>
      </c>
      <c r="B223" s="1" t="s">
        <v>301</v>
      </c>
      <c r="C223" s="1" t="s">
        <v>69</v>
      </c>
      <c r="D223" s="1" t="s">
        <v>319</v>
      </c>
      <c r="E223" s="1" t="s">
        <v>150</v>
      </c>
      <c r="F223" s="1" t="s">
        <v>151</v>
      </c>
      <c r="G223" s="1" t="s">
        <v>680</v>
      </c>
      <c r="H223" s="1" t="s">
        <v>664</v>
      </c>
      <c r="I223" s="1">
        <v>44</v>
      </c>
      <c r="J223" s="2">
        <v>8892.31</v>
      </c>
      <c r="K223" s="2">
        <v>8892.31</v>
      </c>
      <c r="L223" s="2">
        <v>8892.31</v>
      </c>
      <c r="M223" s="2">
        <v>8892.31</v>
      </c>
      <c r="N223" s="1" t="s">
        <v>36</v>
      </c>
      <c r="O223" s="2">
        <v>1</v>
      </c>
      <c r="P223" s="3">
        <f t="shared" si="6"/>
        <v>6669.2325000000001</v>
      </c>
      <c r="Q223" s="3" t="str">
        <f t="shared" si="7"/>
        <v>CB004768558892.31</v>
      </c>
      <c r="R223" t="s">
        <v>37</v>
      </c>
      <c r="S223" t="s">
        <v>60</v>
      </c>
      <c r="T223" t="s">
        <v>102</v>
      </c>
      <c r="AB223" t="s">
        <v>85</v>
      </c>
    </row>
    <row r="224" spans="1:28" hidden="1">
      <c r="A224" t="s">
        <v>29</v>
      </c>
      <c r="B224" s="1" t="s">
        <v>301</v>
      </c>
      <c r="C224" s="1" t="s">
        <v>69</v>
      </c>
      <c r="D224" s="1" t="s">
        <v>681</v>
      </c>
      <c r="E224" s="1" t="s">
        <v>682</v>
      </c>
      <c r="F224" s="1" t="s">
        <v>683</v>
      </c>
      <c r="G224" s="1" t="s">
        <v>684</v>
      </c>
      <c r="H224" s="1" t="s">
        <v>664</v>
      </c>
      <c r="I224" s="1">
        <v>44</v>
      </c>
      <c r="J224" s="2">
        <v>6500.36</v>
      </c>
      <c r="K224" s="2">
        <v>6500.36</v>
      </c>
      <c r="L224" s="2">
        <v>6500.36</v>
      </c>
      <c r="M224" s="2">
        <v>6500.36</v>
      </c>
      <c r="N224" s="1" t="s">
        <v>36</v>
      </c>
      <c r="O224" s="2">
        <v>1</v>
      </c>
      <c r="P224" s="3">
        <f t="shared" si="6"/>
        <v>4875.2699999999995</v>
      </c>
      <c r="Q224" s="3" t="str">
        <f t="shared" si="7"/>
        <v>215436500.36</v>
      </c>
      <c r="R224" t="s">
        <v>139</v>
      </c>
      <c r="S224" t="s">
        <v>60</v>
      </c>
    </row>
    <row r="225" spans="1:28" hidden="1">
      <c r="A225" t="s">
        <v>29</v>
      </c>
      <c r="B225" s="1" t="s">
        <v>96</v>
      </c>
      <c r="C225" s="1" t="s">
        <v>69</v>
      </c>
      <c r="D225" s="1" t="s">
        <v>685</v>
      </c>
      <c r="E225" s="1" t="s">
        <v>298</v>
      </c>
      <c r="F225" s="1" t="s">
        <v>299</v>
      </c>
      <c r="G225" s="1" t="s">
        <v>686</v>
      </c>
      <c r="H225" s="1" t="s">
        <v>687</v>
      </c>
      <c r="I225" s="1">
        <v>43</v>
      </c>
      <c r="J225" s="2">
        <v>1559.94</v>
      </c>
      <c r="K225" s="2">
        <v>1559.9385</v>
      </c>
      <c r="L225" s="2">
        <v>1110</v>
      </c>
      <c r="M225" s="2">
        <v>1110</v>
      </c>
      <c r="N225" s="1" t="s">
        <v>45</v>
      </c>
      <c r="O225" s="2">
        <v>1.4053500000000001</v>
      </c>
      <c r="P225" s="3">
        <f t="shared" si="6"/>
        <v>1110</v>
      </c>
      <c r="Q225" s="3" t="str">
        <f t="shared" si="7"/>
        <v>CTRLHUB-31711110</v>
      </c>
      <c r="R225" t="s">
        <v>285</v>
      </c>
      <c r="AB225" t="s">
        <v>85</v>
      </c>
    </row>
    <row r="226" spans="1:28" hidden="1">
      <c r="A226" t="s">
        <v>29</v>
      </c>
      <c r="B226" s="1" t="s">
        <v>96</v>
      </c>
      <c r="C226" s="1" t="s">
        <v>69</v>
      </c>
      <c r="D226" s="1" t="s">
        <v>688</v>
      </c>
      <c r="E226" s="1" t="s">
        <v>334</v>
      </c>
      <c r="F226" s="1" t="s">
        <v>335</v>
      </c>
      <c r="G226" s="1" t="s">
        <v>689</v>
      </c>
      <c r="H226" s="1" t="s">
        <v>687</v>
      </c>
      <c r="I226" s="1">
        <v>43</v>
      </c>
      <c r="J226" s="2">
        <v>3598.02</v>
      </c>
      <c r="K226" s="2">
        <v>3598.0192305</v>
      </c>
      <c r="L226" s="2">
        <v>2560.23</v>
      </c>
      <c r="M226" s="2">
        <v>2560.23</v>
      </c>
      <c r="N226" s="1" t="s">
        <v>45</v>
      </c>
      <c r="O226" s="2">
        <v>1.4053500000000001</v>
      </c>
      <c r="P226" s="3">
        <f t="shared" si="6"/>
        <v>2560.23</v>
      </c>
      <c r="Q226" s="3" t="str">
        <f t="shared" si="7"/>
        <v>29084001562560.23</v>
      </c>
      <c r="R226" t="s">
        <v>91</v>
      </c>
      <c r="S226" t="s">
        <v>60</v>
      </c>
      <c r="T226" t="s">
        <v>102</v>
      </c>
      <c r="AB226" t="s">
        <v>85</v>
      </c>
    </row>
    <row r="227" spans="1:28" hidden="1">
      <c r="A227" t="s">
        <v>29</v>
      </c>
      <c r="B227" s="1" t="s">
        <v>96</v>
      </c>
      <c r="C227" s="1" t="s">
        <v>69</v>
      </c>
      <c r="D227" s="1" t="s">
        <v>690</v>
      </c>
      <c r="E227" s="1" t="s">
        <v>691</v>
      </c>
      <c r="F227" s="1" t="s">
        <v>692</v>
      </c>
      <c r="G227" s="1" t="s">
        <v>693</v>
      </c>
      <c r="H227" s="1" t="s">
        <v>687</v>
      </c>
      <c r="I227" s="1">
        <v>43</v>
      </c>
      <c r="J227" s="2">
        <v>533276.38</v>
      </c>
      <c r="K227" s="2">
        <v>533276.38</v>
      </c>
      <c r="L227" s="2">
        <v>533276.38</v>
      </c>
      <c r="M227" s="2">
        <v>533276.38</v>
      </c>
      <c r="N227" s="1" t="s">
        <v>36</v>
      </c>
      <c r="O227" s="2">
        <v>1</v>
      </c>
      <c r="P227" s="3">
        <f t="shared" si="6"/>
        <v>399957.28500000003</v>
      </c>
      <c r="Q227" s="3" t="str">
        <f t="shared" si="7"/>
        <v>93230232533276.38</v>
      </c>
      <c r="R227" t="s">
        <v>37</v>
      </c>
      <c r="S227" t="s">
        <v>60</v>
      </c>
      <c r="AB227" t="s">
        <v>85</v>
      </c>
    </row>
    <row r="228" spans="1:28" hidden="1">
      <c r="A228" t="s">
        <v>29</v>
      </c>
      <c r="B228" s="1" t="s">
        <v>96</v>
      </c>
      <c r="C228" s="1" t="s">
        <v>69</v>
      </c>
      <c r="D228" s="1" t="s">
        <v>694</v>
      </c>
      <c r="E228" s="1" t="s">
        <v>691</v>
      </c>
      <c r="F228" s="1" t="s">
        <v>692</v>
      </c>
      <c r="G228" s="1" t="s">
        <v>695</v>
      </c>
      <c r="H228" s="1" t="s">
        <v>687</v>
      </c>
      <c r="I228" s="1">
        <v>43</v>
      </c>
      <c r="J228" s="2">
        <v>1921</v>
      </c>
      <c r="K228" s="2">
        <v>1921</v>
      </c>
      <c r="L228" s="2">
        <v>1921</v>
      </c>
      <c r="M228" s="2">
        <v>1921</v>
      </c>
      <c r="N228" s="1" t="s">
        <v>36</v>
      </c>
      <c r="O228" s="2">
        <v>1</v>
      </c>
      <c r="P228" s="3">
        <f t="shared" si="6"/>
        <v>1440.75</v>
      </c>
      <c r="Q228" s="3" t="str">
        <f t="shared" si="7"/>
        <v>932302331921</v>
      </c>
      <c r="R228" t="s">
        <v>37</v>
      </c>
      <c r="S228" t="s">
        <v>60</v>
      </c>
      <c r="T228" t="s">
        <v>102</v>
      </c>
      <c r="AB228" t="s">
        <v>85</v>
      </c>
    </row>
    <row r="229" spans="1:28" hidden="1">
      <c r="A229" t="s">
        <v>29</v>
      </c>
      <c r="B229" s="1" t="s">
        <v>96</v>
      </c>
      <c r="C229" s="1" t="s">
        <v>69</v>
      </c>
      <c r="D229" s="1" t="s">
        <v>696</v>
      </c>
      <c r="E229" s="1" t="s">
        <v>236</v>
      </c>
      <c r="F229" s="1" t="s">
        <v>237</v>
      </c>
      <c r="G229" s="1" t="s">
        <v>697</v>
      </c>
      <c r="H229" s="1" t="s">
        <v>687</v>
      </c>
      <c r="I229" s="1">
        <v>43</v>
      </c>
      <c r="J229" s="2">
        <v>1988.8</v>
      </c>
      <c r="K229" s="2">
        <v>1988.8</v>
      </c>
      <c r="L229" s="2">
        <v>1988.8</v>
      </c>
      <c r="M229" s="2">
        <v>1988.8</v>
      </c>
      <c r="N229" s="1" t="s">
        <v>36</v>
      </c>
      <c r="O229" s="2">
        <v>1</v>
      </c>
      <c r="P229" s="3">
        <f t="shared" si="6"/>
        <v>1491.6</v>
      </c>
      <c r="Q229" s="3" t="str">
        <f t="shared" si="7"/>
        <v>20251100436441988.8</v>
      </c>
      <c r="R229" t="s">
        <v>37</v>
      </c>
      <c r="S229" t="s">
        <v>60</v>
      </c>
      <c r="AB229" t="s">
        <v>85</v>
      </c>
    </row>
    <row r="230" spans="1:28" hidden="1">
      <c r="A230" t="s">
        <v>29</v>
      </c>
      <c r="B230" s="1" t="s">
        <v>544</v>
      </c>
      <c r="C230" s="1" t="s">
        <v>69</v>
      </c>
      <c r="D230" s="1" t="s">
        <v>698</v>
      </c>
      <c r="E230" s="1" t="s">
        <v>199</v>
      </c>
      <c r="F230" s="1" t="s">
        <v>200</v>
      </c>
      <c r="G230" s="1" t="s">
        <v>699</v>
      </c>
      <c r="H230" s="1" t="s">
        <v>687</v>
      </c>
      <c r="I230" s="1">
        <v>43</v>
      </c>
      <c r="J230" s="2">
        <v>15491.77</v>
      </c>
      <c r="K230" s="2">
        <v>0.33</v>
      </c>
      <c r="L230" s="2">
        <v>15491.77</v>
      </c>
      <c r="M230" s="2">
        <v>0.33</v>
      </c>
      <c r="N230" s="1" t="s">
        <v>36</v>
      </c>
      <c r="O230" s="2">
        <v>1</v>
      </c>
      <c r="P230" s="3">
        <f t="shared" si="6"/>
        <v>0.2475</v>
      </c>
      <c r="Q230" s="3" t="str">
        <f t="shared" si="7"/>
        <v>252061200000320.33</v>
      </c>
      <c r="AB230" t="s">
        <v>85</v>
      </c>
    </row>
    <row r="231" spans="1:28" hidden="1">
      <c r="A231" t="s">
        <v>29</v>
      </c>
      <c r="B231" s="1" t="s">
        <v>687</v>
      </c>
      <c r="C231" s="1" t="s">
        <v>69</v>
      </c>
      <c r="D231" s="1" t="s">
        <v>700</v>
      </c>
      <c r="E231" s="1" t="s">
        <v>701</v>
      </c>
      <c r="F231" s="1" t="s">
        <v>702</v>
      </c>
      <c r="G231" s="1" t="s">
        <v>703</v>
      </c>
      <c r="H231" s="1" t="s">
        <v>687</v>
      </c>
      <c r="I231" s="1">
        <v>43</v>
      </c>
      <c r="J231" s="2">
        <v>14946.74</v>
      </c>
      <c r="K231" s="2">
        <v>14946.7434235</v>
      </c>
      <c r="L231" s="2">
        <v>10677.58</v>
      </c>
      <c r="M231" s="2">
        <v>10677.58</v>
      </c>
      <c r="N231" s="1" t="s">
        <v>45</v>
      </c>
      <c r="O231" s="2">
        <v>1.3998250000000001</v>
      </c>
      <c r="P231" s="3">
        <f t="shared" si="6"/>
        <v>10677.58</v>
      </c>
      <c r="Q231" s="3" t="str">
        <f t="shared" si="7"/>
        <v>EA1201250610677.58</v>
      </c>
      <c r="R231" t="s">
        <v>74</v>
      </c>
      <c r="S231" t="s">
        <v>60</v>
      </c>
      <c r="T231" t="s">
        <v>102</v>
      </c>
      <c r="AB231" t="s">
        <v>85</v>
      </c>
    </row>
    <row r="232" spans="1:28" hidden="1">
      <c r="A232" t="s">
        <v>29</v>
      </c>
      <c r="B232" s="1" t="s">
        <v>687</v>
      </c>
      <c r="C232" s="1" t="s">
        <v>69</v>
      </c>
      <c r="D232" s="1" t="s">
        <v>704</v>
      </c>
      <c r="E232" s="1" t="s">
        <v>316</v>
      </c>
      <c r="F232" s="1" t="s">
        <v>316</v>
      </c>
      <c r="G232" s="1" t="s">
        <v>705</v>
      </c>
      <c r="H232" s="1" t="s">
        <v>687</v>
      </c>
      <c r="I232" s="1">
        <v>43</v>
      </c>
      <c r="J232" s="2">
        <v>197.64</v>
      </c>
      <c r="K232" s="2">
        <v>197.64</v>
      </c>
      <c r="L232" s="2">
        <v>197.64</v>
      </c>
      <c r="M232" s="2">
        <v>197.64</v>
      </c>
      <c r="N232" s="1" t="s">
        <v>36</v>
      </c>
      <c r="O232" s="2">
        <v>1</v>
      </c>
      <c r="P232" s="3">
        <f t="shared" si="6"/>
        <v>148.22999999999999</v>
      </c>
      <c r="Q232" s="3" t="str">
        <f t="shared" si="7"/>
        <v>140010 - Dec25197.64</v>
      </c>
      <c r="AB232" t="s">
        <v>85</v>
      </c>
    </row>
    <row r="233" spans="1:28" hidden="1">
      <c r="A233" t="s">
        <v>29</v>
      </c>
      <c r="B233" s="1" t="s">
        <v>687</v>
      </c>
      <c r="C233" s="1" t="s">
        <v>69</v>
      </c>
      <c r="D233" s="1" t="s">
        <v>706</v>
      </c>
      <c r="E233" s="1" t="s">
        <v>392</v>
      </c>
      <c r="F233" s="1"/>
      <c r="G233" s="1" t="s">
        <v>707</v>
      </c>
      <c r="H233" s="1" t="s">
        <v>687</v>
      </c>
      <c r="I233" s="1">
        <v>43</v>
      </c>
      <c r="J233" s="2">
        <v>18080</v>
      </c>
      <c r="K233" s="2">
        <v>18080</v>
      </c>
      <c r="L233" s="2">
        <v>18080</v>
      </c>
      <c r="M233" s="2">
        <v>18080</v>
      </c>
      <c r="N233" s="1" t="s">
        <v>36</v>
      </c>
      <c r="O233" s="2">
        <v>1</v>
      </c>
      <c r="P233" s="3">
        <f t="shared" si="6"/>
        <v>13560</v>
      </c>
      <c r="Q233" s="3" t="str">
        <f t="shared" si="7"/>
        <v>000204218080</v>
      </c>
    </row>
    <row r="234" spans="1:28" hidden="1">
      <c r="A234" t="s">
        <v>29</v>
      </c>
      <c r="B234" s="1" t="s">
        <v>337</v>
      </c>
      <c r="C234" s="1" t="s">
        <v>69</v>
      </c>
      <c r="D234" s="1" t="s">
        <v>708</v>
      </c>
      <c r="E234" s="1" t="s">
        <v>334</v>
      </c>
      <c r="F234" s="1" t="s">
        <v>335</v>
      </c>
      <c r="G234" s="1" t="s">
        <v>709</v>
      </c>
      <c r="H234" s="1" t="s">
        <v>710</v>
      </c>
      <c r="I234" s="1">
        <v>42</v>
      </c>
      <c r="J234" s="2">
        <v>17.670000000000002</v>
      </c>
      <c r="K234" s="2">
        <v>17.669762500000001</v>
      </c>
      <c r="L234" s="2">
        <v>12.61</v>
      </c>
      <c r="M234" s="2">
        <v>12.61</v>
      </c>
      <c r="N234" s="1" t="s">
        <v>45</v>
      </c>
      <c r="O234" s="2">
        <v>1.4012500000000001</v>
      </c>
      <c r="P234" s="3">
        <f t="shared" si="6"/>
        <v>12.61</v>
      </c>
      <c r="Q234" s="3" t="str">
        <f t="shared" si="7"/>
        <v>290840148312.61</v>
      </c>
      <c r="R234" t="s">
        <v>91</v>
      </c>
      <c r="S234" t="s">
        <v>60</v>
      </c>
      <c r="T234" t="s">
        <v>102</v>
      </c>
      <c r="AB234" t="s">
        <v>85</v>
      </c>
    </row>
    <row r="235" spans="1:28" hidden="1">
      <c r="A235" t="s">
        <v>29</v>
      </c>
      <c r="B235" s="1" t="s">
        <v>337</v>
      </c>
      <c r="C235" s="1" t="s">
        <v>69</v>
      </c>
      <c r="D235" s="1" t="s">
        <v>711</v>
      </c>
      <c r="E235" s="1" t="s">
        <v>334</v>
      </c>
      <c r="F235" s="1" t="s">
        <v>335</v>
      </c>
      <c r="G235" s="1" t="s">
        <v>533</v>
      </c>
      <c r="H235" s="1" t="s">
        <v>710</v>
      </c>
      <c r="I235" s="1">
        <v>42</v>
      </c>
      <c r="J235" s="2">
        <v>50.23</v>
      </c>
      <c r="K235" s="2">
        <v>50.234812499999997</v>
      </c>
      <c r="L235" s="2">
        <v>35.85</v>
      </c>
      <c r="M235" s="2">
        <v>35.85</v>
      </c>
      <c r="N235" s="1" t="s">
        <v>45</v>
      </c>
      <c r="O235" s="2">
        <v>1.4012500000000001</v>
      </c>
      <c r="P235" s="3">
        <f t="shared" si="6"/>
        <v>35.85</v>
      </c>
      <c r="Q235" s="3" t="str">
        <f t="shared" si="7"/>
        <v>290840208335.85</v>
      </c>
      <c r="R235" t="s">
        <v>91</v>
      </c>
      <c r="S235" t="s">
        <v>60</v>
      </c>
      <c r="T235" t="s">
        <v>102</v>
      </c>
      <c r="AB235" t="s">
        <v>85</v>
      </c>
    </row>
    <row r="236" spans="1:28" hidden="1">
      <c r="A236" t="s">
        <v>29</v>
      </c>
      <c r="B236" s="1" t="s">
        <v>515</v>
      </c>
      <c r="C236" s="1" t="s">
        <v>69</v>
      </c>
      <c r="D236" s="1" t="s">
        <v>712</v>
      </c>
      <c r="E236" s="1" t="s">
        <v>156</v>
      </c>
      <c r="F236" s="1" t="s">
        <v>156</v>
      </c>
      <c r="G236" s="1" t="s">
        <v>713</v>
      </c>
      <c r="H236" s="1" t="s">
        <v>710</v>
      </c>
      <c r="I236" s="1">
        <v>42</v>
      </c>
      <c r="J236" s="2">
        <v>214.66</v>
      </c>
      <c r="K236" s="2">
        <v>0.04</v>
      </c>
      <c r="L236" s="2">
        <v>214.66</v>
      </c>
      <c r="M236" s="2">
        <v>0.04</v>
      </c>
      <c r="N236" s="1" t="s">
        <v>36</v>
      </c>
      <c r="O236" s="2">
        <v>1</v>
      </c>
      <c r="P236" s="3">
        <f t="shared" si="6"/>
        <v>0.03</v>
      </c>
      <c r="Q236" s="3" t="str">
        <f t="shared" si="7"/>
        <v>2-698-588220.04</v>
      </c>
      <c r="AB236" t="s">
        <v>85</v>
      </c>
    </row>
    <row r="237" spans="1:28" hidden="1">
      <c r="A237" t="s">
        <v>29</v>
      </c>
      <c r="B237" s="1" t="s">
        <v>710</v>
      </c>
      <c r="C237" s="1" t="s">
        <v>69</v>
      </c>
      <c r="D237" s="1" t="s">
        <v>714</v>
      </c>
      <c r="E237" s="1" t="s">
        <v>628</v>
      </c>
      <c r="F237" s="1" t="s">
        <v>629</v>
      </c>
      <c r="G237" s="1" t="s">
        <v>715</v>
      </c>
      <c r="H237" s="1" t="s">
        <v>710</v>
      </c>
      <c r="I237" s="1">
        <v>42</v>
      </c>
      <c r="J237" s="2">
        <v>1695.01</v>
      </c>
      <c r="K237" s="2">
        <v>1695.0094387199999</v>
      </c>
      <c r="L237" s="2">
        <v>1213.44</v>
      </c>
      <c r="M237" s="2">
        <v>1213.44</v>
      </c>
      <c r="N237" s="1" t="s">
        <v>45</v>
      </c>
      <c r="O237" s="2">
        <v>1.396863</v>
      </c>
      <c r="P237" s="3">
        <f t="shared" si="6"/>
        <v>1213.44</v>
      </c>
      <c r="Q237" s="3" t="str">
        <f t="shared" si="7"/>
        <v>20251202M111213.44</v>
      </c>
      <c r="R237" t="s">
        <v>132</v>
      </c>
      <c r="AB237" t="s">
        <v>85</v>
      </c>
    </row>
    <row r="238" spans="1:28" hidden="1">
      <c r="A238" t="s">
        <v>29</v>
      </c>
      <c r="B238" s="1" t="s">
        <v>710</v>
      </c>
      <c r="C238" s="1" t="s">
        <v>69</v>
      </c>
      <c r="D238" s="1" t="s">
        <v>716</v>
      </c>
      <c r="E238" s="1" t="s">
        <v>717</v>
      </c>
      <c r="F238" s="1" t="s">
        <v>276</v>
      </c>
      <c r="G238" s="1" t="s">
        <v>718</v>
      </c>
      <c r="H238" s="1" t="s">
        <v>710</v>
      </c>
      <c r="I238" s="1">
        <v>42</v>
      </c>
      <c r="J238" s="2">
        <v>137631.5</v>
      </c>
      <c r="K238" s="2">
        <v>137631.50055837</v>
      </c>
      <c r="L238" s="2">
        <v>98528.99</v>
      </c>
      <c r="M238" s="2">
        <v>98528.99</v>
      </c>
      <c r="N238" s="1" t="s">
        <v>45</v>
      </c>
      <c r="O238" s="2">
        <v>1.396863</v>
      </c>
      <c r="P238" s="3">
        <f t="shared" si="6"/>
        <v>98528.99</v>
      </c>
      <c r="Q238" s="3" t="str">
        <f t="shared" si="7"/>
        <v>101901836598528.99</v>
      </c>
      <c r="R238" t="s">
        <v>37</v>
      </c>
      <c r="S238" t="s">
        <v>60</v>
      </c>
      <c r="T238" t="s">
        <v>102</v>
      </c>
      <c r="AB238" t="s">
        <v>85</v>
      </c>
    </row>
    <row r="239" spans="1:28" hidden="1">
      <c r="A239" t="s">
        <v>29</v>
      </c>
      <c r="B239" s="1" t="s">
        <v>710</v>
      </c>
      <c r="C239" s="1" t="s">
        <v>69</v>
      </c>
      <c r="D239" s="1" t="s">
        <v>719</v>
      </c>
      <c r="E239" s="1" t="s">
        <v>323</v>
      </c>
      <c r="F239" s="1" t="s">
        <v>324</v>
      </c>
      <c r="G239" s="1" t="s">
        <v>325</v>
      </c>
      <c r="H239" s="1" t="s">
        <v>710</v>
      </c>
      <c r="I239" s="1">
        <v>42</v>
      </c>
      <c r="J239" s="2">
        <v>3333</v>
      </c>
      <c r="K239" s="2">
        <v>3333</v>
      </c>
      <c r="L239" s="2">
        <v>3333</v>
      </c>
      <c r="M239" s="2">
        <v>3333</v>
      </c>
      <c r="N239" s="1" t="s">
        <v>36</v>
      </c>
      <c r="O239" s="2">
        <v>1</v>
      </c>
      <c r="P239" s="3">
        <f t="shared" si="6"/>
        <v>2499.75</v>
      </c>
      <c r="Q239" s="3" t="str">
        <f t="shared" si="7"/>
        <v>42183333</v>
      </c>
      <c r="AB239" t="s">
        <v>85</v>
      </c>
    </row>
    <row r="240" spans="1:28" hidden="1">
      <c r="A240" t="s">
        <v>29</v>
      </c>
      <c r="B240" s="1" t="s">
        <v>710</v>
      </c>
      <c r="C240" s="1" t="s">
        <v>69</v>
      </c>
      <c r="D240" s="1" t="s">
        <v>720</v>
      </c>
      <c r="E240" s="1" t="s">
        <v>721</v>
      </c>
      <c r="F240" s="1" t="s">
        <v>722</v>
      </c>
      <c r="G240" s="1" t="s">
        <v>723</v>
      </c>
      <c r="H240" s="1" t="s">
        <v>710</v>
      </c>
      <c r="I240" s="1">
        <v>42</v>
      </c>
      <c r="J240" s="2">
        <v>7682.75</v>
      </c>
      <c r="K240" s="2">
        <v>7682.7465000000002</v>
      </c>
      <c r="L240" s="2">
        <v>5500</v>
      </c>
      <c r="M240" s="2">
        <v>5500</v>
      </c>
      <c r="N240" s="1" t="s">
        <v>45</v>
      </c>
      <c r="O240" s="2">
        <v>1.396863</v>
      </c>
      <c r="P240" s="3">
        <f t="shared" si="6"/>
        <v>5500</v>
      </c>
      <c r="Q240" s="3" t="str">
        <f t="shared" si="7"/>
        <v>20250916-0015500</v>
      </c>
      <c r="R240" t="s">
        <v>724</v>
      </c>
      <c r="AB240" t="s">
        <v>85</v>
      </c>
    </row>
    <row r="241" spans="1:28" hidden="1">
      <c r="A241" t="s">
        <v>29</v>
      </c>
      <c r="B241" s="1" t="s">
        <v>710</v>
      </c>
      <c r="C241" s="1" t="s">
        <v>69</v>
      </c>
      <c r="D241" s="1" t="s">
        <v>725</v>
      </c>
      <c r="E241" s="1" t="s">
        <v>726</v>
      </c>
      <c r="F241" s="1" t="s">
        <v>727</v>
      </c>
      <c r="G241" s="1" t="s">
        <v>728</v>
      </c>
      <c r="H241" s="1" t="s">
        <v>710</v>
      </c>
      <c r="I241" s="1">
        <v>42</v>
      </c>
      <c r="J241" s="2">
        <v>1980.75</v>
      </c>
      <c r="K241" s="2">
        <v>1980.7517339999999</v>
      </c>
      <c r="L241" s="2">
        <v>1418</v>
      </c>
      <c r="M241" s="2">
        <v>1418</v>
      </c>
      <c r="N241" s="1" t="s">
        <v>45</v>
      </c>
      <c r="O241" s="2">
        <v>1.396863</v>
      </c>
      <c r="P241" s="3">
        <f t="shared" si="6"/>
        <v>1418</v>
      </c>
      <c r="Q241" s="3" t="str">
        <f t="shared" si="7"/>
        <v>QRJ25101700421418</v>
      </c>
      <c r="R241" t="s">
        <v>74</v>
      </c>
      <c r="AB241" t="s">
        <v>85</v>
      </c>
    </row>
    <row r="242" spans="1:28" hidden="1">
      <c r="A242" t="s">
        <v>29</v>
      </c>
      <c r="B242" s="1" t="s">
        <v>710</v>
      </c>
      <c r="C242" s="1" t="s">
        <v>69</v>
      </c>
      <c r="D242" s="1" t="s">
        <v>729</v>
      </c>
      <c r="E242" s="1" t="s">
        <v>726</v>
      </c>
      <c r="F242" s="1" t="s">
        <v>727</v>
      </c>
      <c r="G242" s="1" t="s">
        <v>730</v>
      </c>
      <c r="H242" s="1" t="s">
        <v>710</v>
      </c>
      <c r="I242" s="1">
        <v>42</v>
      </c>
      <c r="J242" s="2">
        <v>24211.13</v>
      </c>
      <c r="K242" s="2">
        <v>24211.127947500001</v>
      </c>
      <c r="L242" s="2">
        <v>17332.5</v>
      </c>
      <c r="M242" s="2">
        <v>17332.5</v>
      </c>
      <c r="N242" s="1" t="s">
        <v>45</v>
      </c>
      <c r="O242" s="2">
        <v>1.396863</v>
      </c>
      <c r="P242" s="3">
        <f t="shared" si="6"/>
        <v>17332.5</v>
      </c>
      <c r="Q242" s="3" t="str">
        <f t="shared" si="7"/>
        <v>QRJ251013001717332.5</v>
      </c>
      <c r="R242" t="s">
        <v>74</v>
      </c>
      <c r="AB242" t="s">
        <v>85</v>
      </c>
    </row>
    <row r="243" spans="1:28" hidden="1">
      <c r="A243" t="s">
        <v>29</v>
      </c>
      <c r="B243" s="1" t="s">
        <v>710</v>
      </c>
      <c r="C243" s="1" t="s">
        <v>69</v>
      </c>
      <c r="D243" s="1" t="s">
        <v>731</v>
      </c>
      <c r="E243" s="1" t="s">
        <v>732</v>
      </c>
      <c r="F243" s="1" t="s">
        <v>733</v>
      </c>
      <c r="G243" s="1" t="s">
        <v>734</v>
      </c>
      <c r="H243" s="1" t="s">
        <v>710</v>
      </c>
      <c r="I243" s="1">
        <v>42</v>
      </c>
      <c r="J243" s="2">
        <v>2176.31</v>
      </c>
      <c r="K243" s="2">
        <v>2176.3125540000001</v>
      </c>
      <c r="L243" s="2">
        <v>1558</v>
      </c>
      <c r="M243" s="2">
        <v>1558</v>
      </c>
      <c r="N243" s="1" t="s">
        <v>45</v>
      </c>
      <c r="O243" s="2">
        <v>1.396863</v>
      </c>
      <c r="P243" s="3">
        <f t="shared" si="6"/>
        <v>1558</v>
      </c>
      <c r="Q243" s="3" t="str">
        <f t="shared" si="7"/>
        <v>CA02-00311991558</v>
      </c>
      <c r="AB243" t="s">
        <v>85</v>
      </c>
    </row>
    <row r="244" spans="1:28" hidden="1">
      <c r="A244" t="s">
        <v>29</v>
      </c>
      <c r="B244" s="1" t="s">
        <v>710</v>
      </c>
      <c r="C244" s="1" t="s">
        <v>69</v>
      </c>
      <c r="D244" s="1" t="s">
        <v>735</v>
      </c>
      <c r="E244" s="1" t="s">
        <v>98</v>
      </c>
      <c r="F244" s="1" t="s">
        <v>99</v>
      </c>
      <c r="G244" s="1" t="s">
        <v>736</v>
      </c>
      <c r="H244" s="1" t="s">
        <v>710</v>
      </c>
      <c r="I244" s="1">
        <v>42</v>
      </c>
      <c r="J244" s="2">
        <v>839.51</v>
      </c>
      <c r="K244" s="2">
        <v>839.51466300000004</v>
      </c>
      <c r="L244" s="2">
        <v>601</v>
      </c>
      <c r="M244" s="2">
        <v>601</v>
      </c>
      <c r="N244" s="1" t="s">
        <v>45</v>
      </c>
      <c r="O244" s="2">
        <v>1.396863</v>
      </c>
      <c r="P244" s="3">
        <f t="shared" si="6"/>
        <v>601</v>
      </c>
      <c r="Q244" s="3" t="str">
        <f t="shared" si="7"/>
        <v>205222601</v>
      </c>
      <c r="R244" t="s">
        <v>74</v>
      </c>
      <c r="S244" t="s">
        <v>155</v>
      </c>
      <c r="AB244" t="s">
        <v>85</v>
      </c>
    </row>
    <row r="245" spans="1:28" hidden="1">
      <c r="A245" t="s">
        <v>29</v>
      </c>
      <c r="B245" s="1" t="s">
        <v>710</v>
      </c>
      <c r="C245" s="1" t="s">
        <v>69</v>
      </c>
      <c r="D245" s="1" t="s">
        <v>737</v>
      </c>
      <c r="E245" s="1" t="s">
        <v>738</v>
      </c>
      <c r="F245" s="1"/>
      <c r="G245" s="1" t="s">
        <v>739</v>
      </c>
      <c r="H245" s="1" t="s">
        <v>710</v>
      </c>
      <c r="I245" s="1">
        <v>42</v>
      </c>
      <c r="J245" s="2">
        <v>35077.32</v>
      </c>
      <c r="K245" s="2">
        <v>35077.315915840001</v>
      </c>
      <c r="L245" s="2">
        <v>2533938.88</v>
      </c>
      <c r="M245" s="2">
        <v>2533938.88</v>
      </c>
      <c r="N245" s="1" t="s">
        <v>740</v>
      </c>
      <c r="O245" s="2">
        <v>1.3842999999999999E-2</v>
      </c>
      <c r="P245" s="3">
        <f t="shared" si="6"/>
        <v>2533938.88</v>
      </c>
      <c r="Q245" s="3" t="str">
        <f t="shared" si="7"/>
        <v>1139432533938.88</v>
      </c>
    </row>
    <row r="246" spans="1:28" hidden="1">
      <c r="A246" t="s">
        <v>29</v>
      </c>
      <c r="B246" s="1" t="s">
        <v>710</v>
      </c>
      <c r="C246" s="1" t="s">
        <v>69</v>
      </c>
      <c r="D246" s="1" t="s">
        <v>741</v>
      </c>
      <c r="E246" s="1" t="s">
        <v>742</v>
      </c>
      <c r="F246" s="1"/>
      <c r="G246" s="1" t="s">
        <v>743</v>
      </c>
      <c r="H246" s="1" t="s">
        <v>710</v>
      </c>
      <c r="I246" s="1">
        <v>42</v>
      </c>
      <c r="J246" s="2">
        <v>594380</v>
      </c>
      <c r="K246" s="2">
        <v>594380</v>
      </c>
      <c r="L246" s="2">
        <v>594380</v>
      </c>
      <c r="M246" s="2">
        <v>594380</v>
      </c>
      <c r="N246" s="1" t="s">
        <v>36</v>
      </c>
      <c r="O246" s="2">
        <v>1</v>
      </c>
      <c r="P246" s="3">
        <f t="shared" si="6"/>
        <v>445785</v>
      </c>
      <c r="Q246" s="3" t="str">
        <f t="shared" si="7"/>
        <v>781125594380</v>
      </c>
    </row>
    <row r="247" spans="1:28" hidden="1">
      <c r="A247" t="s">
        <v>29</v>
      </c>
      <c r="B247" s="1" t="s">
        <v>349</v>
      </c>
      <c r="C247" s="1" t="s">
        <v>69</v>
      </c>
      <c r="D247" s="1" t="s">
        <v>744</v>
      </c>
      <c r="E247" s="1" t="s">
        <v>57</v>
      </c>
      <c r="F247" s="1" t="s">
        <v>58</v>
      </c>
      <c r="G247" s="1" t="s">
        <v>745</v>
      </c>
      <c r="H247" s="1" t="s">
        <v>746</v>
      </c>
      <c r="I247" s="1">
        <v>41</v>
      </c>
      <c r="J247" s="2">
        <v>23905.79</v>
      </c>
      <c r="K247" s="2">
        <v>23905.791000000001</v>
      </c>
      <c r="L247" s="2">
        <v>17000</v>
      </c>
      <c r="M247" s="2">
        <v>17000</v>
      </c>
      <c r="N247" s="1" t="s">
        <v>45</v>
      </c>
      <c r="O247" s="2">
        <v>1.406223</v>
      </c>
      <c r="P247" s="3">
        <f t="shared" si="6"/>
        <v>17000</v>
      </c>
      <c r="Q247" s="3" t="str">
        <f t="shared" si="7"/>
        <v>IN06251103002117000</v>
      </c>
      <c r="R247" t="s">
        <v>59</v>
      </c>
      <c r="S247" t="s">
        <v>60</v>
      </c>
      <c r="T247" t="s">
        <v>102</v>
      </c>
      <c r="AB247" t="s">
        <v>85</v>
      </c>
    </row>
    <row r="248" spans="1:28" hidden="1">
      <c r="A248" t="s">
        <v>29</v>
      </c>
      <c r="B248" s="1" t="s">
        <v>349</v>
      </c>
      <c r="C248" s="1" t="s">
        <v>69</v>
      </c>
      <c r="D248" s="1" t="s">
        <v>747</v>
      </c>
      <c r="E248" s="1" t="s">
        <v>334</v>
      </c>
      <c r="F248" s="1" t="s">
        <v>335</v>
      </c>
      <c r="G248" s="1" t="s">
        <v>748</v>
      </c>
      <c r="H248" s="1" t="s">
        <v>746</v>
      </c>
      <c r="I248" s="1">
        <v>41</v>
      </c>
      <c r="J248" s="2">
        <v>2824.08</v>
      </c>
      <c r="K248" s="2">
        <v>2824.0754642100001</v>
      </c>
      <c r="L248" s="2">
        <v>2008.27</v>
      </c>
      <c r="M248" s="2">
        <v>2008.27</v>
      </c>
      <c r="N248" s="1" t="s">
        <v>45</v>
      </c>
      <c r="O248" s="2">
        <v>1.406223</v>
      </c>
      <c r="P248" s="3">
        <f t="shared" si="6"/>
        <v>2008.27</v>
      </c>
      <c r="Q248" s="3" t="str">
        <f t="shared" si="7"/>
        <v>29084032532008.27</v>
      </c>
      <c r="R248" t="s">
        <v>91</v>
      </c>
      <c r="S248" t="s">
        <v>60</v>
      </c>
      <c r="T248" t="s">
        <v>102</v>
      </c>
      <c r="AB248" t="s">
        <v>85</v>
      </c>
    </row>
    <row r="249" spans="1:28" hidden="1">
      <c r="A249" t="s">
        <v>29</v>
      </c>
      <c r="B249" s="1" t="s">
        <v>349</v>
      </c>
      <c r="C249" s="1" t="s">
        <v>69</v>
      </c>
      <c r="D249" s="1" t="s">
        <v>749</v>
      </c>
      <c r="E249" s="1" t="s">
        <v>334</v>
      </c>
      <c r="F249" s="1" t="s">
        <v>335</v>
      </c>
      <c r="G249" s="1" t="s">
        <v>709</v>
      </c>
      <c r="H249" s="1" t="s">
        <v>746</v>
      </c>
      <c r="I249" s="1">
        <v>41</v>
      </c>
      <c r="J249" s="2">
        <v>1596.36</v>
      </c>
      <c r="K249" s="2">
        <v>1596.35841183</v>
      </c>
      <c r="L249" s="2">
        <v>1135.21</v>
      </c>
      <c r="M249" s="2">
        <v>1135.21</v>
      </c>
      <c r="N249" s="1" t="s">
        <v>45</v>
      </c>
      <c r="O249" s="2">
        <v>1.406223</v>
      </c>
      <c r="P249" s="3">
        <f t="shared" si="6"/>
        <v>1135.21</v>
      </c>
      <c r="Q249" s="3" t="str">
        <f t="shared" si="7"/>
        <v>29084045031135.21</v>
      </c>
      <c r="R249" t="s">
        <v>91</v>
      </c>
      <c r="S249" t="s">
        <v>60</v>
      </c>
      <c r="T249" t="s">
        <v>102</v>
      </c>
      <c r="AB249" t="s">
        <v>85</v>
      </c>
    </row>
    <row r="250" spans="1:28" hidden="1">
      <c r="A250" t="s">
        <v>29</v>
      </c>
      <c r="B250" s="1" t="s">
        <v>349</v>
      </c>
      <c r="C250" s="1" t="s">
        <v>69</v>
      </c>
      <c r="D250" s="1" t="s">
        <v>750</v>
      </c>
      <c r="E250" s="1" t="s">
        <v>584</v>
      </c>
      <c r="F250" s="1" t="s">
        <v>585</v>
      </c>
      <c r="G250" s="1" t="s">
        <v>586</v>
      </c>
      <c r="H250" s="1" t="s">
        <v>746</v>
      </c>
      <c r="I250" s="1">
        <v>41</v>
      </c>
      <c r="J250" s="2">
        <v>189.9</v>
      </c>
      <c r="K250" s="2">
        <v>189.9</v>
      </c>
      <c r="L250" s="2">
        <v>189.9</v>
      </c>
      <c r="M250" s="2">
        <v>189.9</v>
      </c>
      <c r="N250" s="1" t="s">
        <v>36</v>
      </c>
      <c r="O250" s="2">
        <v>1</v>
      </c>
      <c r="P250" s="3">
        <f t="shared" si="6"/>
        <v>142.42500000000001</v>
      </c>
      <c r="Q250" s="3" t="str">
        <f t="shared" si="7"/>
        <v>7679993189.9</v>
      </c>
      <c r="R250" t="s">
        <v>139</v>
      </c>
      <c r="S250" t="s">
        <v>60</v>
      </c>
      <c r="AB250" t="s">
        <v>85</v>
      </c>
    </row>
    <row r="251" spans="1:28" hidden="1">
      <c r="A251" t="s">
        <v>29</v>
      </c>
      <c r="B251" s="1" t="s">
        <v>349</v>
      </c>
      <c r="C251" s="1" t="s">
        <v>69</v>
      </c>
      <c r="D251" s="1" t="s">
        <v>751</v>
      </c>
      <c r="E251" s="1" t="s">
        <v>584</v>
      </c>
      <c r="F251" s="1" t="s">
        <v>585</v>
      </c>
      <c r="G251" s="1" t="s">
        <v>752</v>
      </c>
      <c r="H251" s="1" t="s">
        <v>746</v>
      </c>
      <c r="I251" s="1">
        <v>41</v>
      </c>
      <c r="J251" s="2">
        <v>97.41</v>
      </c>
      <c r="K251" s="2">
        <v>97.41</v>
      </c>
      <c r="L251" s="2">
        <v>97.41</v>
      </c>
      <c r="M251" s="2">
        <v>97.41</v>
      </c>
      <c r="N251" s="1" t="s">
        <v>36</v>
      </c>
      <c r="O251" s="2">
        <v>1</v>
      </c>
      <c r="P251" s="3">
        <f t="shared" si="6"/>
        <v>73.057500000000005</v>
      </c>
      <c r="Q251" s="3" t="str">
        <f t="shared" si="7"/>
        <v>767992097.41</v>
      </c>
      <c r="R251" t="s">
        <v>139</v>
      </c>
      <c r="S251" t="s">
        <v>60</v>
      </c>
      <c r="AB251" t="s">
        <v>85</v>
      </c>
    </row>
    <row r="252" spans="1:28" hidden="1">
      <c r="A252" t="s">
        <v>29</v>
      </c>
      <c r="B252" s="1" t="s">
        <v>349</v>
      </c>
      <c r="C252" s="1" t="s">
        <v>69</v>
      </c>
      <c r="D252" s="1" t="s">
        <v>753</v>
      </c>
      <c r="E252" s="1" t="s">
        <v>584</v>
      </c>
      <c r="F252" s="1" t="s">
        <v>585</v>
      </c>
      <c r="G252" s="1" t="s">
        <v>754</v>
      </c>
      <c r="H252" s="1" t="s">
        <v>746</v>
      </c>
      <c r="I252" s="1">
        <v>41</v>
      </c>
      <c r="J252" s="2">
        <v>146.28</v>
      </c>
      <c r="K252" s="2">
        <v>146.28</v>
      </c>
      <c r="L252" s="2">
        <v>146.28</v>
      </c>
      <c r="M252" s="2">
        <v>146.28</v>
      </c>
      <c r="N252" s="1" t="s">
        <v>36</v>
      </c>
      <c r="O252" s="2">
        <v>1</v>
      </c>
      <c r="P252" s="3">
        <f t="shared" si="6"/>
        <v>109.71000000000001</v>
      </c>
      <c r="Q252" s="3" t="str">
        <f t="shared" si="7"/>
        <v>7680070146.28</v>
      </c>
      <c r="R252" t="s">
        <v>139</v>
      </c>
      <c r="S252" t="s">
        <v>60</v>
      </c>
      <c r="AB252" t="s">
        <v>85</v>
      </c>
    </row>
    <row r="253" spans="1:28" hidden="1">
      <c r="A253" t="s">
        <v>29</v>
      </c>
      <c r="B253" s="1" t="s">
        <v>755</v>
      </c>
      <c r="C253" s="1" t="s">
        <v>69</v>
      </c>
      <c r="D253" s="1" t="s">
        <v>756</v>
      </c>
      <c r="E253" s="1" t="s">
        <v>156</v>
      </c>
      <c r="F253" s="1" t="s">
        <v>156</v>
      </c>
      <c r="G253" s="1" t="s">
        <v>757</v>
      </c>
      <c r="H253" s="1" t="s">
        <v>746</v>
      </c>
      <c r="I253" s="1">
        <v>41</v>
      </c>
      <c r="J253" s="2">
        <v>1046.74</v>
      </c>
      <c r="K253" s="2">
        <v>1046.74</v>
      </c>
      <c r="L253" s="2">
        <v>1046.74</v>
      </c>
      <c r="M253" s="2">
        <v>1046.74</v>
      </c>
      <c r="N253" s="1" t="s">
        <v>36</v>
      </c>
      <c r="O253" s="2">
        <v>1</v>
      </c>
      <c r="P253" s="3">
        <f t="shared" si="6"/>
        <v>785.05500000000006</v>
      </c>
      <c r="Q253" s="3" t="str">
        <f t="shared" si="7"/>
        <v>2-698-821611046.74</v>
      </c>
      <c r="R253" t="s">
        <v>758</v>
      </c>
      <c r="S253" t="s">
        <v>60</v>
      </c>
      <c r="AB253" t="s">
        <v>85</v>
      </c>
    </row>
    <row r="254" spans="1:28" hidden="1">
      <c r="A254" t="s">
        <v>29</v>
      </c>
      <c r="B254" s="1" t="s">
        <v>354</v>
      </c>
      <c r="C254" s="1" t="s">
        <v>69</v>
      </c>
      <c r="D254" s="1" t="s">
        <v>759</v>
      </c>
      <c r="E254" s="1" t="s">
        <v>47</v>
      </c>
      <c r="F254" s="1" t="s">
        <v>48</v>
      </c>
      <c r="G254" s="1" t="s">
        <v>760</v>
      </c>
      <c r="H254" s="1" t="s">
        <v>761</v>
      </c>
      <c r="I254" s="1">
        <v>40</v>
      </c>
      <c r="J254" s="2">
        <v>432099.73</v>
      </c>
      <c r="K254" s="2">
        <v>432099.73138299002</v>
      </c>
      <c r="L254" s="2">
        <v>306188.13</v>
      </c>
      <c r="M254" s="2">
        <v>306188.13</v>
      </c>
      <c r="N254" s="1" t="s">
        <v>45</v>
      </c>
      <c r="O254" s="2">
        <v>1.4112229999999999</v>
      </c>
      <c r="P254" s="3">
        <f t="shared" si="6"/>
        <v>306188.13</v>
      </c>
      <c r="Q254" s="3" t="str">
        <f t="shared" si="7"/>
        <v>IN400231306188.13</v>
      </c>
      <c r="R254" t="s">
        <v>59</v>
      </c>
      <c r="S254" t="s">
        <v>60</v>
      </c>
      <c r="T254" t="s">
        <v>102</v>
      </c>
      <c r="AB254" t="s">
        <v>85</v>
      </c>
    </row>
    <row r="255" spans="1:28" hidden="1">
      <c r="A255" t="s">
        <v>29</v>
      </c>
      <c r="B255" s="1" t="s">
        <v>354</v>
      </c>
      <c r="C255" s="1" t="s">
        <v>69</v>
      </c>
      <c r="D255" s="1" t="s">
        <v>762</v>
      </c>
      <c r="E255" s="1" t="s">
        <v>616</v>
      </c>
      <c r="F255" s="1" t="s">
        <v>222</v>
      </c>
      <c r="G255" s="1" t="s">
        <v>617</v>
      </c>
      <c r="H255" s="1" t="s">
        <v>761</v>
      </c>
      <c r="I255" s="1">
        <v>40</v>
      </c>
      <c r="J255" s="2">
        <v>1947</v>
      </c>
      <c r="K255" s="2">
        <v>1947</v>
      </c>
      <c r="L255" s="2">
        <v>1947</v>
      </c>
      <c r="M255" s="2">
        <v>1947</v>
      </c>
      <c r="N255" s="1" t="s">
        <v>36</v>
      </c>
      <c r="O255" s="2">
        <v>1</v>
      </c>
      <c r="P255" s="3">
        <f t="shared" si="6"/>
        <v>1460.25</v>
      </c>
      <c r="Q255" s="3" t="str">
        <f t="shared" si="7"/>
        <v>FGL00045571947</v>
      </c>
      <c r="R255" t="s">
        <v>139</v>
      </c>
      <c r="S255" t="s">
        <v>60</v>
      </c>
      <c r="AB255" t="s">
        <v>85</v>
      </c>
    </row>
    <row r="256" spans="1:28" hidden="1">
      <c r="A256" t="s">
        <v>29</v>
      </c>
      <c r="B256" s="1" t="s">
        <v>354</v>
      </c>
      <c r="C256" s="1" t="s">
        <v>69</v>
      </c>
      <c r="D256" s="1" t="s">
        <v>763</v>
      </c>
      <c r="E256" s="1" t="s">
        <v>334</v>
      </c>
      <c r="F256" s="1" t="s">
        <v>335</v>
      </c>
      <c r="G256" s="1" t="s">
        <v>655</v>
      </c>
      <c r="H256" s="1" t="s">
        <v>761</v>
      </c>
      <c r="I256" s="1">
        <v>40</v>
      </c>
      <c r="J256" s="2">
        <v>30798.53</v>
      </c>
      <c r="K256" s="2">
        <v>30798.530751999999</v>
      </c>
      <c r="L256" s="2">
        <v>21824</v>
      </c>
      <c r="M256" s="2">
        <v>21824</v>
      </c>
      <c r="N256" s="1" t="s">
        <v>45</v>
      </c>
      <c r="O256" s="2">
        <v>1.4112229999999999</v>
      </c>
      <c r="P256" s="3">
        <f t="shared" si="6"/>
        <v>21824</v>
      </c>
      <c r="Q256" s="3" t="str">
        <f t="shared" si="7"/>
        <v>190969039521824</v>
      </c>
      <c r="R256" t="s">
        <v>91</v>
      </c>
      <c r="S256" t="s">
        <v>60</v>
      </c>
      <c r="T256" t="s">
        <v>102</v>
      </c>
      <c r="AB256" t="s">
        <v>85</v>
      </c>
    </row>
    <row r="257" spans="1:28" hidden="1">
      <c r="A257" t="s">
        <v>29</v>
      </c>
      <c r="B257" s="1" t="s">
        <v>354</v>
      </c>
      <c r="C257" s="1" t="s">
        <v>69</v>
      </c>
      <c r="D257" s="1" t="s">
        <v>764</v>
      </c>
      <c r="E257" s="1" t="s">
        <v>584</v>
      </c>
      <c r="F257" s="1" t="s">
        <v>585</v>
      </c>
      <c r="G257" s="1" t="s">
        <v>586</v>
      </c>
      <c r="H257" s="1" t="s">
        <v>761</v>
      </c>
      <c r="I257" s="1">
        <v>40</v>
      </c>
      <c r="J257" s="2">
        <v>179</v>
      </c>
      <c r="K257" s="2">
        <v>179</v>
      </c>
      <c r="L257" s="2">
        <v>179</v>
      </c>
      <c r="M257" s="2">
        <v>179</v>
      </c>
      <c r="N257" s="1" t="s">
        <v>36</v>
      </c>
      <c r="O257" s="2">
        <v>1</v>
      </c>
      <c r="P257" s="3">
        <f t="shared" ref="P257:P320" si="8">IF(N257="CAD",$P$1,1)*M257</f>
        <v>134.25</v>
      </c>
      <c r="Q257" s="3" t="str">
        <f t="shared" ref="Q257:Q320" si="9">D257&amp;M257</f>
        <v>7686032179</v>
      </c>
      <c r="R257" t="s">
        <v>758</v>
      </c>
      <c r="S257" t="s">
        <v>60</v>
      </c>
      <c r="AB257" t="s">
        <v>85</v>
      </c>
    </row>
    <row r="258" spans="1:28" hidden="1">
      <c r="A258" t="s">
        <v>29</v>
      </c>
      <c r="B258" s="1" t="s">
        <v>354</v>
      </c>
      <c r="C258" s="1" t="s">
        <v>69</v>
      </c>
      <c r="D258" s="1" t="s">
        <v>765</v>
      </c>
      <c r="E258" s="1" t="s">
        <v>584</v>
      </c>
      <c r="F258" s="1" t="s">
        <v>585</v>
      </c>
      <c r="G258" s="1" t="s">
        <v>586</v>
      </c>
      <c r="H258" s="1" t="s">
        <v>761</v>
      </c>
      <c r="I258" s="1">
        <v>40</v>
      </c>
      <c r="J258" s="2">
        <v>189.9</v>
      </c>
      <c r="K258" s="2">
        <v>189.9</v>
      </c>
      <c r="L258" s="2">
        <v>189.9</v>
      </c>
      <c r="M258" s="2">
        <v>189.9</v>
      </c>
      <c r="N258" s="1" t="s">
        <v>36</v>
      </c>
      <c r="O258" s="2">
        <v>1</v>
      </c>
      <c r="P258" s="3">
        <f t="shared" si="8"/>
        <v>142.42500000000001</v>
      </c>
      <c r="Q258" s="3" t="str">
        <f t="shared" si="9"/>
        <v>7685185189.9</v>
      </c>
      <c r="R258" t="s">
        <v>758</v>
      </c>
      <c r="S258" t="s">
        <v>60</v>
      </c>
      <c r="AB258" t="s">
        <v>85</v>
      </c>
    </row>
    <row r="259" spans="1:28" hidden="1">
      <c r="A259" t="s">
        <v>29</v>
      </c>
      <c r="B259" s="1" t="s">
        <v>354</v>
      </c>
      <c r="C259" s="1" t="s">
        <v>69</v>
      </c>
      <c r="D259" s="1" t="s">
        <v>766</v>
      </c>
      <c r="E259" s="1" t="s">
        <v>584</v>
      </c>
      <c r="F259" s="1" t="s">
        <v>585</v>
      </c>
      <c r="G259" s="1" t="s">
        <v>586</v>
      </c>
      <c r="H259" s="1" t="s">
        <v>761</v>
      </c>
      <c r="I259" s="1">
        <v>40</v>
      </c>
      <c r="J259" s="2">
        <v>97.41</v>
      </c>
      <c r="K259" s="2">
        <v>97.41</v>
      </c>
      <c r="L259" s="2">
        <v>97.41</v>
      </c>
      <c r="M259" s="2">
        <v>97.41</v>
      </c>
      <c r="N259" s="1" t="s">
        <v>36</v>
      </c>
      <c r="O259" s="2">
        <v>1</v>
      </c>
      <c r="P259" s="3">
        <f t="shared" si="8"/>
        <v>73.057500000000005</v>
      </c>
      <c r="Q259" s="3" t="str">
        <f t="shared" si="9"/>
        <v>768512997.41</v>
      </c>
      <c r="R259" t="s">
        <v>758</v>
      </c>
      <c r="S259" t="s">
        <v>60</v>
      </c>
      <c r="AB259" t="s">
        <v>85</v>
      </c>
    </row>
    <row r="260" spans="1:28" hidden="1">
      <c r="A260" t="s">
        <v>29</v>
      </c>
      <c r="B260" s="1" t="s">
        <v>354</v>
      </c>
      <c r="C260" s="1" t="s">
        <v>69</v>
      </c>
      <c r="D260" s="1" t="s">
        <v>767</v>
      </c>
      <c r="E260" s="1" t="s">
        <v>584</v>
      </c>
      <c r="F260" s="1" t="s">
        <v>585</v>
      </c>
      <c r="G260" s="1" t="s">
        <v>586</v>
      </c>
      <c r="H260" s="1" t="s">
        <v>761</v>
      </c>
      <c r="I260" s="1">
        <v>40</v>
      </c>
      <c r="J260" s="2">
        <v>179</v>
      </c>
      <c r="K260" s="2">
        <v>179</v>
      </c>
      <c r="L260" s="2">
        <v>179</v>
      </c>
      <c r="M260" s="2">
        <v>179</v>
      </c>
      <c r="N260" s="1" t="s">
        <v>36</v>
      </c>
      <c r="O260" s="2">
        <v>1</v>
      </c>
      <c r="P260" s="3">
        <f t="shared" si="8"/>
        <v>134.25</v>
      </c>
      <c r="Q260" s="3" t="str">
        <f t="shared" si="9"/>
        <v>7685348179</v>
      </c>
      <c r="R260" t="s">
        <v>758</v>
      </c>
      <c r="S260" t="s">
        <v>60</v>
      </c>
      <c r="AB260" t="s">
        <v>85</v>
      </c>
    </row>
    <row r="261" spans="1:28" hidden="1">
      <c r="A261" t="s">
        <v>29</v>
      </c>
      <c r="B261" s="1" t="s">
        <v>354</v>
      </c>
      <c r="C261" s="1" t="s">
        <v>69</v>
      </c>
      <c r="D261" s="1" t="s">
        <v>768</v>
      </c>
      <c r="E261" s="1" t="s">
        <v>584</v>
      </c>
      <c r="F261" s="1" t="s">
        <v>585</v>
      </c>
      <c r="G261" s="1" t="s">
        <v>754</v>
      </c>
      <c r="H261" s="1" t="s">
        <v>761</v>
      </c>
      <c r="I261" s="1">
        <v>40</v>
      </c>
      <c r="J261" s="2">
        <v>146.28</v>
      </c>
      <c r="K261" s="2">
        <v>146.28</v>
      </c>
      <c r="L261" s="2">
        <v>146.28</v>
      </c>
      <c r="M261" s="2">
        <v>146.28</v>
      </c>
      <c r="N261" s="1" t="s">
        <v>36</v>
      </c>
      <c r="O261" s="2">
        <v>1</v>
      </c>
      <c r="P261" s="3">
        <f t="shared" si="8"/>
        <v>109.71000000000001</v>
      </c>
      <c r="Q261" s="3" t="str">
        <f t="shared" si="9"/>
        <v>7685386146.28</v>
      </c>
      <c r="R261" t="s">
        <v>758</v>
      </c>
      <c r="S261" t="s">
        <v>60</v>
      </c>
      <c r="AB261" t="s">
        <v>85</v>
      </c>
    </row>
    <row r="262" spans="1:28" hidden="1">
      <c r="A262" t="s">
        <v>29</v>
      </c>
      <c r="B262" s="1" t="s">
        <v>354</v>
      </c>
      <c r="C262" s="1" t="s">
        <v>69</v>
      </c>
      <c r="D262" s="1" t="s">
        <v>769</v>
      </c>
      <c r="E262" s="1" t="s">
        <v>334</v>
      </c>
      <c r="F262" s="1" t="s">
        <v>335</v>
      </c>
      <c r="G262" s="1" t="s">
        <v>770</v>
      </c>
      <c r="H262" s="1" t="s">
        <v>761</v>
      </c>
      <c r="I262" s="1">
        <v>40</v>
      </c>
      <c r="J262" s="2">
        <v>12691.17</v>
      </c>
      <c r="K262" s="2">
        <v>12691.17077569</v>
      </c>
      <c r="L262" s="2">
        <v>8993.0300000000007</v>
      </c>
      <c r="M262" s="2">
        <v>8993.0300000000007</v>
      </c>
      <c r="N262" s="1" t="s">
        <v>45</v>
      </c>
      <c r="O262" s="2">
        <v>1.4112229999999999</v>
      </c>
      <c r="P262" s="3">
        <f t="shared" si="8"/>
        <v>8993.0300000000007</v>
      </c>
      <c r="Q262" s="3" t="str">
        <f t="shared" si="9"/>
        <v>29084056368993.03</v>
      </c>
      <c r="R262" t="s">
        <v>91</v>
      </c>
      <c r="S262" t="s">
        <v>60</v>
      </c>
      <c r="T262" t="s">
        <v>102</v>
      </c>
      <c r="AB262" t="s">
        <v>85</v>
      </c>
    </row>
    <row r="263" spans="1:28" hidden="1">
      <c r="A263" t="s">
        <v>29</v>
      </c>
      <c r="B263" s="1" t="s">
        <v>354</v>
      </c>
      <c r="C263" s="1" t="s">
        <v>69</v>
      </c>
      <c r="D263" s="1" t="s">
        <v>771</v>
      </c>
      <c r="E263" s="1" t="s">
        <v>334</v>
      </c>
      <c r="F263" s="1" t="s">
        <v>335</v>
      </c>
      <c r="G263" s="1" t="s">
        <v>772</v>
      </c>
      <c r="H263" s="1" t="s">
        <v>761</v>
      </c>
      <c r="I263" s="1">
        <v>40</v>
      </c>
      <c r="J263" s="2">
        <v>4324.8900000000003</v>
      </c>
      <c r="K263" s="2">
        <v>4324.89045472</v>
      </c>
      <c r="L263" s="2">
        <v>3064.64</v>
      </c>
      <c r="M263" s="2">
        <v>3064.64</v>
      </c>
      <c r="N263" s="1" t="s">
        <v>45</v>
      </c>
      <c r="O263" s="2">
        <v>1.4112229999999999</v>
      </c>
      <c r="P263" s="3">
        <f t="shared" si="8"/>
        <v>3064.64</v>
      </c>
      <c r="Q263" s="3" t="str">
        <f t="shared" si="9"/>
        <v>29084065273064.64</v>
      </c>
      <c r="R263" t="s">
        <v>91</v>
      </c>
      <c r="S263" t="s">
        <v>60</v>
      </c>
      <c r="T263" t="s">
        <v>102</v>
      </c>
      <c r="AB263" t="s">
        <v>85</v>
      </c>
    </row>
    <row r="264" spans="1:28" hidden="1">
      <c r="A264" t="s">
        <v>29</v>
      </c>
      <c r="B264" s="1" t="s">
        <v>354</v>
      </c>
      <c r="C264" s="1" t="s">
        <v>69</v>
      </c>
      <c r="D264" s="1" t="s">
        <v>773</v>
      </c>
      <c r="E264" s="1" t="s">
        <v>392</v>
      </c>
      <c r="F264" s="1" t="s">
        <v>393</v>
      </c>
      <c r="G264" s="1" t="s">
        <v>401</v>
      </c>
      <c r="H264" s="1" t="s">
        <v>761</v>
      </c>
      <c r="I264" s="1">
        <v>40</v>
      </c>
      <c r="J264" s="2">
        <v>16272</v>
      </c>
      <c r="K264" s="2">
        <v>16272</v>
      </c>
      <c r="L264" s="2">
        <v>16272</v>
      </c>
      <c r="M264" s="2">
        <v>16272</v>
      </c>
      <c r="N264" s="1" t="s">
        <v>36</v>
      </c>
      <c r="O264" s="2">
        <v>1</v>
      </c>
      <c r="P264" s="3">
        <f t="shared" si="8"/>
        <v>12204</v>
      </c>
      <c r="Q264" s="3" t="str">
        <f t="shared" si="9"/>
        <v>000208116272</v>
      </c>
      <c r="R264" t="s">
        <v>166</v>
      </c>
      <c r="AB264" t="s">
        <v>85</v>
      </c>
    </row>
    <row r="265" spans="1:28" hidden="1">
      <c r="A265" t="s">
        <v>29</v>
      </c>
      <c r="B265" s="1" t="s">
        <v>354</v>
      </c>
      <c r="C265" s="1" t="s">
        <v>69</v>
      </c>
      <c r="D265" s="1" t="s">
        <v>774</v>
      </c>
      <c r="E265" s="1" t="s">
        <v>392</v>
      </c>
      <c r="F265" s="1" t="s">
        <v>393</v>
      </c>
      <c r="G265" s="1" t="s">
        <v>398</v>
      </c>
      <c r="H265" s="1" t="s">
        <v>761</v>
      </c>
      <c r="I265" s="1">
        <v>40</v>
      </c>
      <c r="J265" s="2">
        <v>21696</v>
      </c>
      <c r="K265" s="2">
        <v>21696</v>
      </c>
      <c r="L265" s="2">
        <v>21696</v>
      </c>
      <c r="M265" s="2">
        <v>21696</v>
      </c>
      <c r="N265" s="1" t="s">
        <v>36</v>
      </c>
      <c r="O265" s="2">
        <v>1</v>
      </c>
      <c r="P265" s="3">
        <f t="shared" si="8"/>
        <v>16272</v>
      </c>
      <c r="Q265" s="3" t="str">
        <f t="shared" si="9"/>
        <v>000208221696</v>
      </c>
      <c r="R265" t="s">
        <v>399</v>
      </c>
      <c r="AB265" t="s">
        <v>85</v>
      </c>
    </row>
    <row r="266" spans="1:28" hidden="1">
      <c r="A266" t="s">
        <v>29</v>
      </c>
      <c r="B266" s="1" t="s">
        <v>527</v>
      </c>
      <c r="C266" s="1" t="s">
        <v>69</v>
      </c>
      <c r="D266" s="1" t="s">
        <v>775</v>
      </c>
      <c r="E266" s="1" t="s">
        <v>156</v>
      </c>
      <c r="F266" s="1" t="s">
        <v>156</v>
      </c>
      <c r="G266" s="1" t="s">
        <v>776</v>
      </c>
      <c r="H266" s="1" t="s">
        <v>761</v>
      </c>
      <c r="I266" s="1">
        <v>40</v>
      </c>
      <c r="J266" s="2">
        <v>33.1</v>
      </c>
      <c r="K266" s="2">
        <v>33.1</v>
      </c>
      <c r="L266" s="2">
        <v>33.1</v>
      </c>
      <c r="M266" s="2">
        <v>33.1</v>
      </c>
      <c r="N266" s="1" t="s">
        <v>36</v>
      </c>
      <c r="O266" s="2">
        <v>1</v>
      </c>
      <c r="P266" s="3">
        <f t="shared" si="8"/>
        <v>24.825000000000003</v>
      </c>
      <c r="Q266" s="3" t="str">
        <f t="shared" si="9"/>
        <v>2-699-0522933.1</v>
      </c>
      <c r="R266" t="s">
        <v>758</v>
      </c>
      <c r="S266" t="s">
        <v>60</v>
      </c>
      <c r="AB266" t="s">
        <v>85</v>
      </c>
    </row>
    <row r="267" spans="1:28" hidden="1">
      <c r="A267" t="s">
        <v>29</v>
      </c>
      <c r="B267" s="1" t="s">
        <v>761</v>
      </c>
      <c r="C267" s="1" t="s">
        <v>31</v>
      </c>
      <c r="D267" s="1" t="s">
        <v>32</v>
      </c>
      <c r="E267" s="1" t="s">
        <v>53</v>
      </c>
      <c r="F267" s="1" t="s">
        <v>54</v>
      </c>
      <c r="G267" s="1" t="s">
        <v>777</v>
      </c>
      <c r="H267" s="1" t="s">
        <v>761</v>
      </c>
      <c r="I267" s="1">
        <v>40</v>
      </c>
      <c r="J267" s="2">
        <v>-917.37</v>
      </c>
      <c r="K267" s="2">
        <v>-917.36886149999998</v>
      </c>
      <c r="L267" s="2">
        <v>-663.39</v>
      </c>
      <c r="M267" s="2">
        <v>-663.39</v>
      </c>
      <c r="N267" s="1" t="s">
        <v>45</v>
      </c>
      <c r="O267" s="2">
        <v>1.3828499999999999</v>
      </c>
      <c r="P267" s="3">
        <f t="shared" si="8"/>
        <v>-663.39</v>
      </c>
      <c r="Q267" s="3" t="str">
        <f t="shared" si="9"/>
        <v>-663.39</v>
      </c>
      <c r="AB267" t="s">
        <v>40</v>
      </c>
    </row>
    <row r="268" spans="1:28" hidden="1">
      <c r="A268" t="s">
        <v>29</v>
      </c>
      <c r="B268" s="1" t="s">
        <v>761</v>
      </c>
      <c r="C268" s="1" t="s">
        <v>69</v>
      </c>
      <c r="D268" s="1" t="s">
        <v>778</v>
      </c>
      <c r="E268" s="1" t="s">
        <v>732</v>
      </c>
      <c r="F268" s="1" t="s">
        <v>733</v>
      </c>
      <c r="G268" s="1" t="s">
        <v>734</v>
      </c>
      <c r="H268" s="1" t="s">
        <v>761</v>
      </c>
      <c r="I268" s="1">
        <v>40</v>
      </c>
      <c r="J268" s="2">
        <v>689.4</v>
      </c>
      <c r="K268" s="2">
        <v>689.400218</v>
      </c>
      <c r="L268" s="2">
        <v>494</v>
      </c>
      <c r="M268" s="2">
        <v>494</v>
      </c>
      <c r="N268" s="1" t="s">
        <v>45</v>
      </c>
      <c r="O268" s="2">
        <v>1.3955470000000001</v>
      </c>
      <c r="P268" s="3">
        <f t="shared" si="8"/>
        <v>494</v>
      </c>
      <c r="Q268" s="3" t="str">
        <f t="shared" si="9"/>
        <v>CA02-0031412494</v>
      </c>
      <c r="AB268" t="s">
        <v>85</v>
      </c>
    </row>
    <row r="269" spans="1:28" hidden="1">
      <c r="A269" t="s">
        <v>29</v>
      </c>
      <c r="B269" s="1" t="s">
        <v>364</v>
      </c>
      <c r="C269" s="1" t="s">
        <v>69</v>
      </c>
      <c r="D269" s="1" t="s">
        <v>779</v>
      </c>
      <c r="E269" s="1" t="s">
        <v>584</v>
      </c>
      <c r="F269" s="1" t="s">
        <v>585</v>
      </c>
      <c r="G269" s="1" t="s">
        <v>586</v>
      </c>
      <c r="H269" s="1" t="s">
        <v>780</v>
      </c>
      <c r="I269" s="1">
        <v>39</v>
      </c>
      <c r="J269" s="2">
        <v>179</v>
      </c>
      <c r="K269" s="2">
        <v>179</v>
      </c>
      <c r="L269" s="2">
        <v>179</v>
      </c>
      <c r="M269" s="2">
        <v>179</v>
      </c>
      <c r="N269" s="1" t="s">
        <v>36</v>
      </c>
      <c r="O269" s="2">
        <v>1</v>
      </c>
      <c r="P269" s="3">
        <f t="shared" si="8"/>
        <v>134.25</v>
      </c>
      <c r="Q269" s="3" t="str">
        <f t="shared" si="9"/>
        <v>7689503179</v>
      </c>
      <c r="R269" t="s">
        <v>139</v>
      </c>
      <c r="S269" t="s">
        <v>60</v>
      </c>
      <c r="AB269" t="s">
        <v>85</v>
      </c>
    </row>
    <row r="270" spans="1:28" hidden="1">
      <c r="A270" t="s">
        <v>29</v>
      </c>
      <c r="B270" s="1" t="s">
        <v>364</v>
      </c>
      <c r="C270" s="1" t="s">
        <v>69</v>
      </c>
      <c r="D270" s="1" t="s">
        <v>781</v>
      </c>
      <c r="E270" s="1" t="s">
        <v>584</v>
      </c>
      <c r="F270" s="1" t="s">
        <v>585</v>
      </c>
      <c r="G270" s="1" t="s">
        <v>586</v>
      </c>
      <c r="H270" s="1" t="s">
        <v>780</v>
      </c>
      <c r="I270" s="1">
        <v>39</v>
      </c>
      <c r="J270" s="2">
        <v>179</v>
      </c>
      <c r="K270" s="2">
        <v>179</v>
      </c>
      <c r="L270" s="2">
        <v>179</v>
      </c>
      <c r="M270" s="2">
        <v>179</v>
      </c>
      <c r="N270" s="1" t="s">
        <v>36</v>
      </c>
      <c r="O270" s="2">
        <v>1</v>
      </c>
      <c r="P270" s="3">
        <f t="shared" si="8"/>
        <v>134.25</v>
      </c>
      <c r="Q270" s="3" t="str">
        <f t="shared" si="9"/>
        <v>7689389179</v>
      </c>
      <c r="R270" t="s">
        <v>139</v>
      </c>
      <c r="S270" t="s">
        <v>60</v>
      </c>
      <c r="AB270" t="s">
        <v>85</v>
      </c>
    </row>
    <row r="271" spans="1:28" hidden="1">
      <c r="A271" t="s">
        <v>29</v>
      </c>
      <c r="B271" s="1" t="s">
        <v>364</v>
      </c>
      <c r="C271" s="1" t="s">
        <v>69</v>
      </c>
      <c r="D271" s="1" t="s">
        <v>782</v>
      </c>
      <c r="E271" s="1" t="s">
        <v>584</v>
      </c>
      <c r="F271" s="1" t="s">
        <v>585</v>
      </c>
      <c r="G271" s="1" t="s">
        <v>586</v>
      </c>
      <c r="H271" s="1" t="s">
        <v>780</v>
      </c>
      <c r="I271" s="1">
        <v>39</v>
      </c>
      <c r="J271" s="2">
        <v>97.41</v>
      </c>
      <c r="K271" s="2">
        <v>97.41</v>
      </c>
      <c r="L271" s="2">
        <v>97.41</v>
      </c>
      <c r="M271" s="2">
        <v>97.41</v>
      </c>
      <c r="N271" s="1" t="s">
        <v>36</v>
      </c>
      <c r="O271" s="2">
        <v>1</v>
      </c>
      <c r="P271" s="3">
        <f t="shared" si="8"/>
        <v>73.057500000000005</v>
      </c>
      <c r="Q271" s="3" t="str">
        <f t="shared" si="9"/>
        <v>768910697.41</v>
      </c>
      <c r="R271" t="s">
        <v>139</v>
      </c>
      <c r="S271" t="s">
        <v>60</v>
      </c>
      <c r="AB271" t="s">
        <v>85</v>
      </c>
    </row>
    <row r="272" spans="1:28" hidden="1">
      <c r="A272" t="s">
        <v>29</v>
      </c>
      <c r="B272" s="1" t="s">
        <v>364</v>
      </c>
      <c r="C272" s="1" t="s">
        <v>69</v>
      </c>
      <c r="D272" s="1" t="s">
        <v>783</v>
      </c>
      <c r="E272" s="1" t="s">
        <v>221</v>
      </c>
      <c r="F272" s="1" t="s">
        <v>222</v>
      </c>
      <c r="G272" s="1" t="s">
        <v>784</v>
      </c>
      <c r="H272" s="1" t="s">
        <v>780</v>
      </c>
      <c r="I272" s="1">
        <v>39</v>
      </c>
      <c r="J272" s="2">
        <v>2535.91</v>
      </c>
      <c r="K272" s="2">
        <v>2535.9117860000001</v>
      </c>
      <c r="L272" s="2">
        <v>1798</v>
      </c>
      <c r="M272" s="2">
        <v>1798</v>
      </c>
      <c r="N272" s="1" t="s">
        <v>45</v>
      </c>
      <c r="O272" s="2">
        <v>1.410407</v>
      </c>
      <c r="P272" s="3">
        <f t="shared" si="8"/>
        <v>1798</v>
      </c>
      <c r="Q272" s="3" t="str">
        <f t="shared" si="9"/>
        <v>FGL00045941798</v>
      </c>
      <c r="R272" t="s">
        <v>139</v>
      </c>
      <c r="S272" t="s">
        <v>60</v>
      </c>
      <c r="AB272" t="s">
        <v>85</v>
      </c>
    </row>
    <row r="273" spans="1:28" hidden="1">
      <c r="A273" t="s">
        <v>29</v>
      </c>
      <c r="B273" s="1" t="s">
        <v>364</v>
      </c>
      <c r="C273" s="1" t="s">
        <v>69</v>
      </c>
      <c r="D273" s="1" t="s">
        <v>785</v>
      </c>
      <c r="E273" s="1" t="s">
        <v>334</v>
      </c>
      <c r="F273" s="1" t="s">
        <v>335</v>
      </c>
      <c r="G273" s="1" t="s">
        <v>786</v>
      </c>
      <c r="H273" s="1" t="s">
        <v>780</v>
      </c>
      <c r="I273" s="1">
        <v>39</v>
      </c>
      <c r="J273" s="2">
        <v>20.61</v>
      </c>
      <c r="K273" s="2">
        <v>20.60604627</v>
      </c>
      <c r="L273" s="2">
        <v>14.61</v>
      </c>
      <c r="M273" s="2">
        <v>14.61</v>
      </c>
      <c r="N273" s="1" t="s">
        <v>45</v>
      </c>
      <c r="O273" s="2">
        <v>1.410407</v>
      </c>
      <c r="P273" s="3">
        <f t="shared" si="8"/>
        <v>14.61</v>
      </c>
      <c r="Q273" s="3" t="str">
        <f t="shared" si="9"/>
        <v>290840845714.61</v>
      </c>
      <c r="R273" t="s">
        <v>91</v>
      </c>
      <c r="S273" t="s">
        <v>60</v>
      </c>
      <c r="T273" t="s">
        <v>102</v>
      </c>
      <c r="AB273" t="s">
        <v>85</v>
      </c>
    </row>
    <row r="274" spans="1:28" hidden="1">
      <c r="A274" t="s">
        <v>29</v>
      </c>
      <c r="B274" s="1" t="s">
        <v>364</v>
      </c>
      <c r="C274" s="1" t="s">
        <v>69</v>
      </c>
      <c r="D274" s="1" t="s">
        <v>787</v>
      </c>
      <c r="E274" s="1" t="s">
        <v>71</v>
      </c>
      <c r="F274" s="1" t="s">
        <v>72</v>
      </c>
      <c r="G274" s="1" t="s">
        <v>614</v>
      </c>
      <c r="H274" s="1" t="s">
        <v>780</v>
      </c>
      <c r="I274" s="1">
        <v>39</v>
      </c>
      <c r="J274" s="2">
        <v>958562.84</v>
      </c>
      <c r="K274" s="2">
        <v>958562.83589733997</v>
      </c>
      <c r="L274" s="2">
        <v>679635.62</v>
      </c>
      <c r="M274" s="2">
        <v>679635.62</v>
      </c>
      <c r="N274" s="1" t="s">
        <v>45</v>
      </c>
      <c r="O274" s="2">
        <v>1.410407</v>
      </c>
      <c r="P274" s="3">
        <f t="shared" si="8"/>
        <v>679635.62</v>
      </c>
      <c r="Q274" s="3" t="str">
        <f t="shared" si="9"/>
        <v>91909151679635.62</v>
      </c>
      <c r="R274" t="s">
        <v>74</v>
      </c>
      <c r="S274" t="s">
        <v>60</v>
      </c>
      <c r="T274" t="s">
        <v>102</v>
      </c>
      <c r="AB274" t="s">
        <v>85</v>
      </c>
    </row>
    <row r="275" spans="1:28" hidden="1">
      <c r="A275" t="s">
        <v>29</v>
      </c>
      <c r="B275" s="1" t="s">
        <v>364</v>
      </c>
      <c r="C275" s="1" t="s">
        <v>69</v>
      </c>
      <c r="D275" s="1" t="s">
        <v>788</v>
      </c>
      <c r="E275" s="1" t="s">
        <v>135</v>
      </c>
      <c r="F275" s="1" t="s">
        <v>136</v>
      </c>
      <c r="G275" s="1" t="s">
        <v>789</v>
      </c>
      <c r="H275" s="1" t="s">
        <v>780</v>
      </c>
      <c r="I275" s="1">
        <v>39</v>
      </c>
      <c r="J275" s="2">
        <v>17073.28</v>
      </c>
      <c r="K275" s="2">
        <v>17073.28</v>
      </c>
      <c r="L275" s="2">
        <v>17073.28</v>
      </c>
      <c r="M275" s="2">
        <v>17073.28</v>
      </c>
      <c r="N275" s="1" t="s">
        <v>36</v>
      </c>
      <c r="O275" s="2">
        <v>1</v>
      </c>
      <c r="P275" s="3">
        <f t="shared" si="8"/>
        <v>12804.96</v>
      </c>
      <c r="Q275" s="3" t="str">
        <f t="shared" si="9"/>
        <v>FLSI-70638517073.28</v>
      </c>
      <c r="R275" t="s">
        <v>139</v>
      </c>
      <c r="AB275" t="s">
        <v>85</v>
      </c>
    </row>
    <row r="276" spans="1:28" hidden="1">
      <c r="A276" t="s">
        <v>29</v>
      </c>
      <c r="B276" s="1" t="s">
        <v>364</v>
      </c>
      <c r="C276" s="1" t="s">
        <v>69</v>
      </c>
      <c r="D276" s="1" t="s">
        <v>790</v>
      </c>
      <c r="E276" s="1" t="s">
        <v>584</v>
      </c>
      <c r="F276" s="1" t="s">
        <v>585</v>
      </c>
      <c r="G276" s="1" t="s">
        <v>586</v>
      </c>
      <c r="H276" s="1" t="s">
        <v>780</v>
      </c>
      <c r="I276" s="1">
        <v>39</v>
      </c>
      <c r="J276" s="2">
        <v>179</v>
      </c>
      <c r="K276" s="2">
        <v>179</v>
      </c>
      <c r="L276" s="2">
        <v>179</v>
      </c>
      <c r="M276" s="2">
        <v>179</v>
      </c>
      <c r="N276" s="1" t="s">
        <v>36</v>
      </c>
      <c r="O276" s="2">
        <v>1</v>
      </c>
      <c r="P276" s="3">
        <f t="shared" si="8"/>
        <v>134.25</v>
      </c>
      <c r="Q276" s="3" t="str">
        <f t="shared" si="9"/>
        <v>7689641179</v>
      </c>
      <c r="R276" t="s">
        <v>758</v>
      </c>
      <c r="S276" t="s">
        <v>60</v>
      </c>
      <c r="AB276" t="s">
        <v>85</v>
      </c>
    </row>
    <row r="277" spans="1:28" hidden="1">
      <c r="A277" t="s">
        <v>29</v>
      </c>
      <c r="B277" s="1" t="s">
        <v>364</v>
      </c>
      <c r="C277" s="1" t="s">
        <v>69</v>
      </c>
      <c r="D277" s="1" t="s">
        <v>791</v>
      </c>
      <c r="E277" s="1" t="s">
        <v>584</v>
      </c>
      <c r="F277" s="1" t="s">
        <v>585</v>
      </c>
      <c r="G277" s="1" t="s">
        <v>586</v>
      </c>
      <c r="H277" s="1" t="s">
        <v>780</v>
      </c>
      <c r="I277" s="1">
        <v>39</v>
      </c>
      <c r="J277" s="2">
        <v>97.41</v>
      </c>
      <c r="K277" s="2">
        <v>97.41</v>
      </c>
      <c r="L277" s="2">
        <v>97.41</v>
      </c>
      <c r="M277" s="2">
        <v>97.41</v>
      </c>
      <c r="N277" s="1" t="s">
        <v>36</v>
      </c>
      <c r="O277" s="2">
        <v>1</v>
      </c>
      <c r="P277" s="3">
        <f t="shared" si="8"/>
        <v>73.057500000000005</v>
      </c>
      <c r="Q277" s="3" t="str">
        <f t="shared" si="9"/>
        <v>768911397.41</v>
      </c>
      <c r="R277" t="s">
        <v>758</v>
      </c>
      <c r="S277" t="s">
        <v>60</v>
      </c>
      <c r="AB277" t="s">
        <v>85</v>
      </c>
    </row>
    <row r="278" spans="1:28" hidden="1">
      <c r="A278" t="s">
        <v>29</v>
      </c>
      <c r="B278" s="1" t="s">
        <v>537</v>
      </c>
      <c r="C278" s="1" t="s">
        <v>69</v>
      </c>
      <c r="D278" s="1" t="s">
        <v>792</v>
      </c>
      <c r="E278" s="1" t="s">
        <v>156</v>
      </c>
      <c r="F278" s="1" t="s">
        <v>156</v>
      </c>
      <c r="G278" s="1" t="s">
        <v>793</v>
      </c>
      <c r="H278" s="1" t="s">
        <v>780</v>
      </c>
      <c r="I278" s="1">
        <v>39</v>
      </c>
      <c r="J278" s="2">
        <v>21.37</v>
      </c>
      <c r="K278" s="2">
        <v>21.37</v>
      </c>
      <c r="L278" s="2">
        <v>21.37</v>
      </c>
      <c r="M278" s="2">
        <v>21.37</v>
      </c>
      <c r="N278" s="1" t="s">
        <v>36</v>
      </c>
      <c r="O278" s="2">
        <v>1</v>
      </c>
      <c r="P278" s="3">
        <f t="shared" si="8"/>
        <v>16.0275</v>
      </c>
      <c r="Q278" s="3" t="str">
        <f t="shared" si="9"/>
        <v>2-699-2237321.37</v>
      </c>
      <c r="R278" t="s">
        <v>758</v>
      </c>
      <c r="S278" t="s">
        <v>60</v>
      </c>
      <c r="AB278" t="s">
        <v>85</v>
      </c>
    </row>
    <row r="279" spans="1:28">
      <c r="A279" t="s">
        <v>29</v>
      </c>
      <c r="B279" s="1" t="s">
        <v>560</v>
      </c>
      <c r="C279" s="1" t="s">
        <v>69</v>
      </c>
      <c r="D279" s="1" t="s">
        <v>794</v>
      </c>
      <c r="E279" s="1" t="s">
        <v>795</v>
      </c>
      <c r="F279" s="1" t="s">
        <v>796</v>
      </c>
      <c r="G279" s="1" t="s">
        <v>797</v>
      </c>
      <c r="H279" s="1" t="s">
        <v>780</v>
      </c>
      <c r="I279" s="1">
        <v>39</v>
      </c>
      <c r="J279" s="2">
        <v>220666.93</v>
      </c>
      <c r="K279" s="2">
        <v>220666.92538427</v>
      </c>
      <c r="L279" s="2">
        <v>156798.17000000001</v>
      </c>
      <c r="M279" s="2">
        <v>156798.17000000001</v>
      </c>
      <c r="N279" s="1" t="s">
        <v>45</v>
      </c>
      <c r="O279" s="2">
        <v>1.4073310000000001</v>
      </c>
      <c r="P279" s="3">
        <f t="shared" si="8"/>
        <v>156798.17000000001</v>
      </c>
      <c r="Q279" s="3" t="str">
        <f t="shared" si="9"/>
        <v>119459156798.17</v>
      </c>
      <c r="R279" t="s">
        <v>202</v>
      </c>
      <c r="AB279" t="s">
        <v>85</v>
      </c>
    </row>
    <row r="280" spans="1:28">
      <c r="A280" t="s">
        <v>29</v>
      </c>
      <c r="B280" s="1" t="s">
        <v>560</v>
      </c>
      <c r="C280" s="1" t="s">
        <v>69</v>
      </c>
      <c r="D280" s="1" t="s">
        <v>798</v>
      </c>
      <c r="E280" s="1" t="s">
        <v>795</v>
      </c>
      <c r="F280" s="1" t="s">
        <v>796</v>
      </c>
      <c r="G280" s="1" t="s">
        <v>799</v>
      </c>
      <c r="H280" s="1" t="s">
        <v>780</v>
      </c>
      <c r="I280" s="1">
        <v>39</v>
      </c>
      <c r="J280" s="2">
        <v>249258.94</v>
      </c>
      <c r="K280" s="2">
        <v>249258.93749914999</v>
      </c>
      <c r="L280" s="2">
        <v>177114.65</v>
      </c>
      <c r="M280" s="2">
        <v>177114.65</v>
      </c>
      <c r="N280" s="1" t="s">
        <v>45</v>
      </c>
      <c r="O280" s="2">
        <v>1.4073310000000001</v>
      </c>
      <c r="P280" s="3">
        <f t="shared" si="8"/>
        <v>177114.65</v>
      </c>
      <c r="Q280" s="3" t="str">
        <f t="shared" si="9"/>
        <v>119458177114.65</v>
      </c>
      <c r="R280" t="s">
        <v>202</v>
      </c>
      <c r="AB280" t="s">
        <v>85</v>
      </c>
    </row>
    <row r="281" spans="1:28" hidden="1">
      <c r="A281" t="s">
        <v>29</v>
      </c>
      <c r="B281" s="1" t="s">
        <v>780</v>
      </c>
      <c r="C281" s="1" t="s">
        <v>31</v>
      </c>
      <c r="D281" s="1" t="s">
        <v>32</v>
      </c>
      <c r="E281" s="1" t="s">
        <v>334</v>
      </c>
      <c r="F281" s="1" t="s">
        <v>335</v>
      </c>
      <c r="G281" s="1" t="s">
        <v>800</v>
      </c>
      <c r="H281" s="1" t="s">
        <v>780</v>
      </c>
      <c r="I281" s="1">
        <v>39</v>
      </c>
      <c r="J281" s="2">
        <v>-9898.98</v>
      </c>
      <c r="K281" s="2">
        <v>-9898.9777132199997</v>
      </c>
      <c r="L281" s="2">
        <v>-7093.26</v>
      </c>
      <c r="M281" s="2">
        <v>-7093.26</v>
      </c>
      <c r="N281" s="1" t="s">
        <v>45</v>
      </c>
      <c r="O281" s="2">
        <v>1.3955470000000001</v>
      </c>
      <c r="P281" s="3">
        <f t="shared" si="8"/>
        <v>-7093.26</v>
      </c>
      <c r="Q281" s="3" t="str">
        <f t="shared" si="9"/>
        <v>-7093.26</v>
      </c>
      <c r="R281" t="s">
        <v>91</v>
      </c>
      <c r="AB281" t="s">
        <v>40</v>
      </c>
    </row>
    <row r="282" spans="1:28" hidden="1">
      <c r="A282" t="s">
        <v>29</v>
      </c>
      <c r="B282" s="1" t="s">
        <v>780</v>
      </c>
      <c r="C282" s="1" t="s">
        <v>31</v>
      </c>
      <c r="D282" s="1" t="s">
        <v>32</v>
      </c>
      <c r="E282" s="1" t="s">
        <v>801</v>
      </c>
      <c r="F282" s="1" t="s">
        <v>802</v>
      </c>
      <c r="G282" s="1" t="s">
        <v>803</v>
      </c>
      <c r="H282" s="1" t="s">
        <v>780</v>
      </c>
      <c r="I282" s="1">
        <v>39</v>
      </c>
      <c r="J282" s="2">
        <v>-6546.51</v>
      </c>
      <c r="K282" s="2">
        <v>-6546.5109769999999</v>
      </c>
      <c r="L282" s="2">
        <v>-4691</v>
      </c>
      <c r="M282" s="2">
        <v>-4691</v>
      </c>
      <c r="N282" s="1" t="s">
        <v>45</v>
      </c>
      <c r="O282" s="2">
        <v>1.3955470000000001</v>
      </c>
      <c r="P282" s="3">
        <f t="shared" si="8"/>
        <v>-4691</v>
      </c>
      <c r="Q282" s="3" t="str">
        <f t="shared" si="9"/>
        <v>-4691</v>
      </c>
      <c r="AB282" t="s">
        <v>40</v>
      </c>
    </row>
    <row r="283" spans="1:28" hidden="1">
      <c r="A283" t="s">
        <v>29</v>
      </c>
      <c r="B283" s="1" t="s">
        <v>780</v>
      </c>
      <c r="C283" s="1" t="s">
        <v>69</v>
      </c>
      <c r="D283" s="1" t="s">
        <v>804</v>
      </c>
      <c r="E283" s="1" t="s">
        <v>805</v>
      </c>
      <c r="F283" s="1" t="s">
        <v>806</v>
      </c>
      <c r="G283" s="1" t="s">
        <v>807</v>
      </c>
      <c r="H283" s="1" t="s">
        <v>780</v>
      </c>
      <c r="I283" s="1">
        <v>39</v>
      </c>
      <c r="J283" s="2">
        <v>7684</v>
      </c>
      <c r="K283" s="2">
        <v>7684</v>
      </c>
      <c r="L283" s="2">
        <v>7684</v>
      </c>
      <c r="M283" s="2">
        <v>7684</v>
      </c>
      <c r="N283" s="1" t="s">
        <v>36</v>
      </c>
      <c r="O283" s="2">
        <v>1</v>
      </c>
      <c r="P283" s="3">
        <f t="shared" si="8"/>
        <v>5763</v>
      </c>
      <c r="Q283" s="3" t="str">
        <f t="shared" si="9"/>
        <v>2025-TTHDOC-00457684</v>
      </c>
      <c r="R283" t="s">
        <v>383</v>
      </c>
      <c r="T283" t="s">
        <v>102</v>
      </c>
      <c r="AB283" t="s">
        <v>85</v>
      </c>
    </row>
    <row r="284" spans="1:28" hidden="1">
      <c r="A284" t="s">
        <v>29</v>
      </c>
      <c r="B284" s="1" t="s">
        <v>780</v>
      </c>
      <c r="C284" s="1" t="s">
        <v>69</v>
      </c>
      <c r="D284" s="1" t="s">
        <v>808</v>
      </c>
      <c r="E284" s="1" t="s">
        <v>805</v>
      </c>
      <c r="F284" s="1" t="s">
        <v>806</v>
      </c>
      <c r="G284" s="1" t="s">
        <v>807</v>
      </c>
      <c r="H284" s="1" t="s">
        <v>780</v>
      </c>
      <c r="I284" s="1">
        <v>39</v>
      </c>
      <c r="J284" s="2">
        <v>26442</v>
      </c>
      <c r="K284" s="2">
        <v>26442</v>
      </c>
      <c r="L284" s="2">
        <v>26442</v>
      </c>
      <c r="M284" s="2">
        <v>26442</v>
      </c>
      <c r="N284" s="1" t="s">
        <v>36</v>
      </c>
      <c r="O284" s="2">
        <v>1</v>
      </c>
      <c r="P284" s="3">
        <f t="shared" si="8"/>
        <v>19831.5</v>
      </c>
      <c r="Q284" s="3" t="str">
        <f t="shared" si="9"/>
        <v>2025-TT-017126442</v>
      </c>
      <c r="R284" t="s">
        <v>383</v>
      </c>
      <c r="T284" t="s">
        <v>102</v>
      </c>
      <c r="AB284" t="s">
        <v>85</v>
      </c>
    </row>
    <row r="285" spans="1:28" hidden="1">
      <c r="A285" t="s">
        <v>29</v>
      </c>
      <c r="B285" s="1" t="s">
        <v>780</v>
      </c>
      <c r="C285" s="1" t="s">
        <v>69</v>
      </c>
      <c r="D285" s="1" t="s">
        <v>809</v>
      </c>
      <c r="E285" s="1" t="s">
        <v>726</v>
      </c>
      <c r="F285" s="1" t="s">
        <v>727</v>
      </c>
      <c r="G285" s="1" t="s">
        <v>810</v>
      </c>
      <c r="H285" s="1" t="s">
        <v>780</v>
      </c>
      <c r="I285" s="1">
        <v>39</v>
      </c>
      <c r="J285" s="2">
        <v>2901.91</v>
      </c>
      <c r="K285" s="2">
        <v>2901.9107250000002</v>
      </c>
      <c r="L285" s="2">
        <v>2098.5</v>
      </c>
      <c r="M285" s="2">
        <v>2098.5</v>
      </c>
      <c r="N285" s="1" t="s">
        <v>45</v>
      </c>
      <c r="O285" s="2">
        <v>1.3828499999999999</v>
      </c>
      <c r="P285" s="3">
        <f t="shared" si="8"/>
        <v>2098.5</v>
      </c>
      <c r="Q285" s="3" t="str">
        <f t="shared" si="9"/>
        <v>IN2512028-12098.5</v>
      </c>
      <c r="R285" t="s">
        <v>74</v>
      </c>
      <c r="S285" t="s">
        <v>60</v>
      </c>
      <c r="T285" t="s">
        <v>102</v>
      </c>
      <c r="AB285" t="s">
        <v>85</v>
      </c>
    </row>
    <row r="286" spans="1:28" hidden="1">
      <c r="A286" t="s">
        <v>29</v>
      </c>
      <c r="B286" s="1" t="s">
        <v>780</v>
      </c>
      <c r="C286" s="1" t="s">
        <v>69</v>
      </c>
      <c r="D286" s="1" t="s">
        <v>811</v>
      </c>
      <c r="E286" s="1" t="s">
        <v>726</v>
      </c>
      <c r="F286" s="1" t="s">
        <v>727</v>
      </c>
      <c r="G286" s="1" t="s">
        <v>810</v>
      </c>
      <c r="H286" s="1" t="s">
        <v>780</v>
      </c>
      <c r="I286" s="1">
        <v>39</v>
      </c>
      <c r="J286" s="2">
        <v>2370.62</v>
      </c>
      <c r="K286" s="2">
        <v>2370.6197550000002</v>
      </c>
      <c r="L286" s="2">
        <v>1714.3</v>
      </c>
      <c r="M286" s="2">
        <v>1714.3</v>
      </c>
      <c r="N286" s="1" t="s">
        <v>45</v>
      </c>
      <c r="O286" s="2">
        <v>1.3828499999999999</v>
      </c>
      <c r="P286" s="3">
        <f t="shared" si="8"/>
        <v>1714.3</v>
      </c>
      <c r="Q286" s="3" t="str">
        <f t="shared" si="9"/>
        <v>IN2512028-21714.3</v>
      </c>
      <c r="R286" t="s">
        <v>74</v>
      </c>
      <c r="S286" t="s">
        <v>60</v>
      </c>
      <c r="T286" t="s">
        <v>102</v>
      </c>
      <c r="AB286" t="s">
        <v>85</v>
      </c>
    </row>
    <row r="287" spans="1:28" hidden="1">
      <c r="A287" t="s">
        <v>29</v>
      </c>
      <c r="B287" s="1" t="s">
        <v>265</v>
      </c>
      <c r="C287" s="1" t="s">
        <v>69</v>
      </c>
      <c r="D287" s="1" t="s">
        <v>812</v>
      </c>
      <c r="E287" s="1" t="s">
        <v>813</v>
      </c>
      <c r="F287" s="1" t="s">
        <v>814</v>
      </c>
      <c r="G287" s="1" t="s">
        <v>815</v>
      </c>
      <c r="H287" s="1" t="s">
        <v>816</v>
      </c>
      <c r="I287" s="1">
        <v>38</v>
      </c>
      <c r="J287" s="2">
        <v>317.58</v>
      </c>
      <c r="K287" s="2">
        <v>317.57532048000002</v>
      </c>
      <c r="L287" s="2">
        <v>229.68</v>
      </c>
      <c r="M287" s="2">
        <v>229.68</v>
      </c>
      <c r="N287" s="1" t="s">
        <v>45</v>
      </c>
      <c r="O287" s="2">
        <v>1.3826860000000001</v>
      </c>
      <c r="P287" s="3">
        <f t="shared" si="8"/>
        <v>229.68</v>
      </c>
      <c r="Q287" s="3" t="str">
        <f t="shared" si="9"/>
        <v>9500026125229.68</v>
      </c>
      <c r="R287" t="s">
        <v>74</v>
      </c>
      <c r="S287" t="s">
        <v>60</v>
      </c>
      <c r="T287" t="s">
        <v>102</v>
      </c>
      <c r="AB287" t="s">
        <v>85</v>
      </c>
    </row>
    <row r="288" spans="1:28" hidden="1">
      <c r="A288" t="s">
        <v>29</v>
      </c>
      <c r="B288" s="1" t="s">
        <v>265</v>
      </c>
      <c r="C288" s="1" t="s">
        <v>69</v>
      </c>
      <c r="D288" s="1" t="s">
        <v>817</v>
      </c>
      <c r="E288" s="1" t="s">
        <v>813</v>
      </c>
      <c r="F288" s="1" t="s">
        <v>814</v>
      </c>
      <c r="G288" s="1" t="s">
        <v>818</v>
      </c>
      <c r="H288" s="1" t="s">
        <v>816</v>
      </c>
      <c r="I288" s="1">
        <v>38</v>
      </c>
      <c r="J288" s="2">
        <v>404.85</v>
      </c>
      <c r="K288" s="2">
        <v>404.85046080000001</v>
      </c>
      <c r="L288" s="2">
        <v>292.8</v>
      </c>
      <c r="M288" s="2">
        <v>292.8</v>
      </c>
      <c r="N288" s="1" t="s">
        <v>45</v>
      </c>
      <c r="O288" s="2">
        <v>1.3826860000000001</v>
      </c>
      <c r="P288" s="3">
        <f t="shared" si="8"/>
        <v>292.8</v>
      </c>
      <c r="Q288" s="3" t="str">
        <f t="shared" si="9"/>
        <v>9500026124292.8</v>
      </c>
      <c r="R288" t="s">
        <v>74</v>
      </c>
      <c r="S288" t="s">
        <v>60</v>
      </c>
      <c r="T288" t="s">
        <v>102</v>
      </c>
      <c r="AB288" t="s">
        <v>85</v>
      </c>
    </row>
    <row r="289" spans="1:28" hidden="1">
      <c r="A289" t="s">
        <v>29</v>
      </c>
      <c r="B289" s="1" t="s">
        <v>374</v>
      </c>
      <c r="C289" s="1" t="s">
        <v>69</v>
      </c>
      <c r="D289" s="1" t="s">
        <v>819</v>
      </c>
      <c r="E289" s="1" t="s">
        <v>584</v>
      </c>
      <c r="F289" s="1" t="s">
        <v>585</v>
      </c>
      <c r="G289" s="1" t="s">
        <v>586</v>
      </c>
      <c r="H289" s="1" t="s">
        <v>816</v>
      </c>
      <c r="I289" s="1">
        <v>38</v>
      </c>
      <c r="J289" s="2">
        <v>97.41</v>
      </c>
      <c r="K289" s="2">
        <v>97.41</v>
      </c>
      <c r="L289" s="2">
        <v>97.41</v>
      </c>
      <c r="M289" s="2">
        <v>97.41</v>
      </c>
      <c r="N289" s="1" t="s">
        <v>36</v>
      </c>
      <c r="O289" s="2">
        <v>1</v>
      </c>
      <c r="P289" s="3">
        <f t="shared" si="8"/>
        <v>73.057500000000005</v>
      </c>
      <c r="Q289" s="3" t="str">
        <f t="shared" si="9"/>
        <v>769340697.41</v>
      </c>
      <c r="R289" t="s">
        <v>139</v>
      </c>
      <c r="S289" t="s">
        <v>60</v>
      </c>
      <c r="AB289" t="s">
        <v>85</v>
      </c>
    </row>
    <row r="290" spans="1:28" hidden="1">
      <c r="A290" t="s">
        <v>29</v>
      </c>
      <c r="B290" s="1" t="s">
        <v>374</v>
      </c>
      <c r="C290" s="1" t="s">
        <v>69</v>
      </c>
      <c r="D290" s="1" t="s">
        <v>820</v>
      </c>
      <c r="E290" s="1" t="s">
        <v>584</v>
      </c>
      <c r="F290" s="1" t="s">
        <v>585</v>
      </c>
      <c r="G290" s="1" t="s">
        <v>586</v>
      </c>
      <c r="H290" s="1" t="s">
        <v>816</v>
      </c>
      <c r="I290" s="1">
        <v>38</v>
      </c>
      <c r="J290" s="2">
        <v>97.41</v>
      </c>
      <c r="K290" s="2">
        <v>97.41</v>
      </c>
      <c r="L290" s="2">
        <v>97.41</v>
      </c>
      <c r="M290" s="2">
        <v>97.41</v>
      </c>
      <c r="N290" s="1" t="s">
        <v>36</v>
      </c>
      <c r="O290" s="2">
        <v>1</v>
      </c>
      <c r="P290" s="3">
        <f t="shared" si="8"/>
        <v>73.057500000000005</v>
      </c>
      <c r="Q290" s="3" t="str">
        <f t="shared" si="9"/>
        <v>769339097.41</v>
      </c>
      <c r="R290" t="s">
        <v>139</v>
      </c>
      <c r="S290" t="s">
        <v>60</v>
      </c>
      <c r="AB290" t="s">
        <v>85</v>
      </c>
    </row>
    <row r="291" spans="1:28" hidden="1">
      <c r="A291" t="s">
        <v>29</v>
      </c>
      <c r="B291" s="1" t="s">
        <v>374</v>
      </c>
      <c r="C291" s="1" t="s">
        <v>69</v>
      </c>
      <c r="D291" s="1" t="s">
        <v>821</v>
      </c>
      <c r="E291" s="1" t="s">
        <v>584</v>
      </c>
      <c r="F291" s="1" t="s">
        <v>585</v>
      </c>
      <c r="G291" s="1" t="s">
        <v>586</v>
      </c>
      <c r="H291" s="1" t="s">
        <v>816</v>
      </c>
      <c r="I291" s="1">
        <v>38</v>
      </c>
      <c r="J291" s="2">
        <v>97.41</v>
      </c>
      <c r="K291" s="2">
        <v>97.41</v>
      </c>
      <c r="L291" s="2">
        <v>97.41</v>
      </c>
      <c r="M291" s="2">
        <v>97.41</v>
      </c>
      <c r="N291" s="1" t="s">
        <v>36</v>
      </c>
      <c r="O291" s="2">
        <v>1</v>
      </c>
      <c r="P291" s="3">
        <f t="shared" si="8"/>
        <v>73.057500000000005</v>
      </c>
      <c r="Q291" s="3" t="str">
        <f t="shared" si="9"/>
        <v>769339797.41</v>
      </c>
      <c r="R291" t="s">
        <v>139</v>
      </c>
      <c r="S291" t="s">
        <v>60</v>
      </c>
      <c r="AB291" t="s">
        <v>85</v>
      </c>
    </row>
    <row r="292" spans="1:28" hidden="1">
      <c r="A292" t="s">
        <v>29</v>
      </c>
      <c r="B292" s="1" t="s">
        <v>374</v>
      </c>
      <c r="C292" s="1" t="s">
        <v>69</v>
      </c>
      <c r="D292" s="1" t="s">
        <v>822</v>
      </c>
      <c r="E292" s="1" t="s">
        <v>616</v>
      </c>
      <c r="F292" s="1" t="s">
        <v>222</v>
      </c>
      <c r="G292" s="1" t="s">
        <v>617</v>
      </c>
      <c r="H292" s="1" t="s">
        <v>816</v>
      </c>
      <c r="I292" s="1">
        <v>38</v>
      </c>
      <c r="J292" s="2">
        <v>75</v>
      </c>
      <c r="K292" s="2">
        <v>75</v>
      </c>
      <c r="L292" s="2">
        <v>75</v>
      </c>
      <c r="M292" s="2">
        <v>75</v>
      </c>
      <c r="N292" s="1" t="s">
        <v>36</v>
      </c>
      <c r="O292" s="2">
        <v>1</v>
      </c>
      <c r="P292" s="3">
        <f t="shared" si="8"/>
        <v>56.25</v>
      </c>
      <c r="Q292" s="3" t="str">
        <f t="shared" si="9"/>
        <v>FGL000461075</v>
      </c>
      <c r="R292" t="s">
        <v>758</v>
      </c>
      <c r="S292" t="s">
        <v>60</v>
      </c>
      <c r="AB292" t="s">
        <v>85</v>
      </c>
    </row>
    <row r="293" spans="1:28" hidden="1">
      <c r="A293" t="s">
        <v>29</v>
      </c>
      <c r="B293" s="1" t="s">
        <v>374</v>
      </c>
      <c r="C293" s="1" t="s">
        <v>69</v>
      </c>
      <c r="D293" s="1" t="s">
        <v>823</v>
      </c>
      <c r="E293" s="1" t="s">
        <v>334</v>
      </c>
      <c r="F293" s="1" t="s">
        <v>335</v>
      </c>
      <c r="G293" s="1" t="s">
        <v>655</v>
      </c>
      <c r="H293" s="1" t="s">
        <v>816</v>
      </c>
      <c r="I293" s="1">
        <v>38</v>
      </c>
      <c r="J293" s="2">
        <v>48318.77</v>
      </c>
      <c r="K293" s="2">
        <v>48318.765791999998</v>
      </c>
      <c r="L293" s="2">
        <v>34208</v>
      </c>
      <c r="M293" s="2">
        <v>34208</v>
      </c>
      <c r="N293" s="1" t="s">
        <v>45</v>
      </c>
      <c r="O293" s="2">
        <v>1.4124989999999999</v>
      </c>
      <c r="P293" s="3">
        <f t="shared" si="8"/>
        <v>34208</v>
      </c>
      <c r="Q293" s="3" t="str">
        <f t="shared" si="9"/>
        <v>190969599934208</v>
      </c>
      <c r="R293" t="s">
        <v>91</v>
      </c>
      <c r="S293" t="s">
        <v>60</v>
      </c>
      <c r="T293" t="s">
        <v>102</v>
      </c>
      <c r="AB293" t="s">
        <v>85</v>
      </c>
    </row>
    <row r="294" spans="1:28" hidden="1">
      <c r="A294" t="s">
        <v>29</v>
      </c>
      <c r="B294" s="1" t="s">
        <v>374</v>
      </c>
      <c r="C294" s="1" t="s">
        <v>69</v>
      </c>
      <c r="D294" s="1" t="s">
        <v>824</v>
      </c>
      <c r="E294" s="1" t="s">
        <v>334</v>
      </c>
      <c r="F294" s="1" t="s">
        <v>335</v>
      </c>
      <c r="G294" s="1" t="s">
        <v>709</v>
      </c>
      <c r="H294" s="1" t="s">
        <v>816</v>
      </c>
      <c r="I294" s="1">
        <v>38</v>
      </c>
      <c r="J294" s="2">
        <v>587.88</v>
      </c>
      <c r="K294" s="2">
        <v>587.88208380000003</v>
      </c>
      <c r="L294" s="2">
        <v>416.2</v>
      </c>
      <c r="M294" s="2">
        <v>416.2</v>
      </c>
      <c r="N294" s="1" t="s">
        <v>45</v>
      </c>
      <c r="O294" s="2">
        <v>1.4124989999999999</v>
      </c>
      <c r="P294" s="3">
        <f t="shared" si="8"/>
        <v>416.2</v>
      </c>
      <c r="Q294" s="3" t="str">
        <f t="shared" si="9"/>
        <v>2908409822416.2</v>
      </c>
      <c r="R294" t="s">
        <v>91</v>
      </c>
      <c r="S294" t="s">
        <v>60</v>
      </c>
      <c r="T294" t="s">
        <v>102</v>
      </c>
      <c r="AB294" t="s">
        <v>85</v>
      </c>
    </row>
    <row r="295" spans="1:28" hidden="1">
      <c r="A295" t="s">
        <v>29</v>
      </c>
      <c r="B295" s="1" t="s">
        <v>374</v>
      </c>
      <c r="C295" s="1" t="s">
        <v>69</v>
      </c>
      <c r="D295" s="1" t="s">
        <v>825</v>
      </c>
      <c r="E295" s="1" t="s">
        <v>334</v>
      </c>
      <c r="F295" s="1" t="s">
        <v>335</v>
      </c>
      <c r="G295" s="1" t="s">
        <v>533</v>
      </c>
      <c r="H295" s="1" t="s">
        <v>816</v>
      </c>
      <c r="I295" s="1">
        <v>38</v>
      </c>
      <c r="J295" s="2">
        <v>2650.95</v>
      </c>
      <c r="K295" s="2">
        <v>2650.94987322</v>
      </c>
      <c r="L295" s="2">
        <v>1876.78</v>
      </c>
      <c r="M295" s="2">
        <v>1876.78</v>
      </c>
      <c r="N295" s="1" t="s">
        <v>45</v>
      </c>
      <c r="O295" s="2">
        <v>1.4124989999999999</v>
      </c>
      <c r="P295" s="3">
        <f t="shared" si="8"/>
        <v>1876.78</v>
      </c>
      <c r="Q295" s="3" t="str">
        <f t="shared" si="9"/>
        <v>29084102141876.78</v>
      </c>
      <c r="R295" t="s">
        <v>91</v>
      </c>
      <c r="S295" t="s">
        <v>60</v>
      </c>
      <c r="T295" t="s">
        <v>102</v>
      </c>
      <c r="AB295" t="s">
        <v>85</v>
      </c>
    </row>
    <row r="296" spans="1:28" hidden="1">
      <c r="A296" t="s">
        <v>29</v>
      </c>
      <c r="B296" s="1" t="s">
        <v>374</v>
      </c>
      <c r="C296" s="1" t="s">
        <v>69</v>
      </c>
      <c r="D296" s="1" t="s">
        <v>826</v>
      </c>
      <c r="E296" s="1" t="s">
        <v>392</v>
      </c>
      <c r="F296" s="1" t="s">
        <v>393</v>
      </c>
      <c r="G296" s="1" t="s">
        <v>394</v>
      </c>
      <c r="H296" s="1" t="s">
        <v>816</v>
      </c>
      <c r="I296" s="1">
        <v>38</v>
      </c>
      <c r="J296" s="2">
        <v>18984</v>
      </c>
      <c r="K296" s="2">
        <v>18984</v>
      </c>
      <c r="L296" s="2">
        <v>18984</v>
      </c>
      <c r="M296" s="2">
        <v>18984</v>
      </c>
      <c r="N296" s="1" t="s">
        <v>36</v>
      </c>
      <c r="O296" s="2">
        <v>1</v>
      </c>
      <c r="P296" s="3">
        <f t="shared" si="8"/>
        <v>14238</v>
      </c>
      <c r="Q296" s="3" t="str">
        <f t="shared" si="9"/>
        <v>000208518984</v>
      </c>
      <c r="R296" t="s">
        <v>395</v>
      </c>
      <c r="S296" t="s">
        <v>396</v>
      </c>
      <c r="T296" t="s">
        <v>102</v>
      </c>
      <c r="AB296" t="s">
        <v>85</v>
      </c>
    </row>
    <row r="297" spans="1:28" hidden="1">
      <c r="A297" t="s">
        <v>29</v>
      </c>
      <c r="B297" s="1" t="s">
        <v>374</v>
      </c>
      <c r="C297" s="1" t="s">
        <v>69</v>
      </c>
      <c r="D297" s="1" t="s">
        <v>827</v>
      </c>
      <c r="E297" s="1" t="s">
        <v>828</v>
      </c>
      <c r="F297" s="1" t="s">
        <v>829</v>
      </c>
      <c r="G297" s="1" t="s">
        <v>830</v>
      </c>
      <c r="H297" s="1" t="s">
        <v>816</v>
      </c>
      <c r="I297" s="1">
        <v>38</v>
      </c>
      <c r="J297" s="2">
        <v>62672.58</v>
      </c>
      <c r="K297" s="2">
        <v>62672.580629999997</v>
      </c>
      <c r="L297" s="2">
        <v>44370</v>
      </c>
      <c r="M297" s="2">
        <v>44370</v>
      </c>
      <c r="N297" s="1" t="s">
        <v>45</v>
      </c>
      <c r="O297" s="2">
        <v>1.4124989999999999</v>
      </c>
      <c r="P297" s="3">
        <f t="shared" si="8"/>
        <v>44370</v>
      </c>
      <c r="Q297" s="3" t="str">
        <f t="shared" si="9"/>
        <v>1072044370</v>
      </c>
      <c r="R297" t="s">
        <v>59</v>
      </c>
      <c r="S297" t="s">
        <v>60</v>
      </c>
      <c r="T297" t="s">
        <v>102</v>
      </c>
      <c r="AB297" t="s">
        <v>85</v>
      </c>
    </row>
    <row r="298" spans="1:28" hidden="1">
      <c r="A298" t="s">
        <v>29</v>
      </c>
      <c r="B298" s="1" t="s">
        <v>544</v>
      </c>
      <c r="C298" s="1" t="s">
        <v>69</v>
      </c>
      <c r="D298" s="1" t="s">
        <v>831</v>
      </c>
      <c r="E298" s="1" t="s">
        <v>156</v>
      </c>
      <c r="F298" s="1" t="s">
        <v>156</v>
      </c>
      <c r="G298" s="1" t="s">
        <v>793</v>
      </c>
      <c r="H298" s="1" t="s">
        <v>816</v>
      </c>
      <c r="I298" s="1">
        <v>38</v>
      </c>
      <c r="J298" s="2">
        <v>21.33</v>
      </c>
      <c r="K298" s="2">
        <v>21.33</v>
      </c>
      <c r="L298" s="2">
        <v>21.33</v>
      </c>
      <c r="M298" s="2">
        <v>21.33</v>
      </c>
      <c r="N298" s="1" t="s">
        <v>36</v>
      </c>
      <c r="O298" s="2">
        <v>1</v>
      </c>
      <c r="P298" s="3">
        <f t="shared" si="8"/>
        <v>15.997499999999999</v>
      </c>
      <c r="Q298" s="3" t="str">
        <f t="shared" si="9"/>
        <v>2-699-3918321.33</v>
      </c>
      <c r="AB298" t="s">
        <v>85</v>
      </c>
    </row>
    <row r="299" spans="1:28" hidden="1">
      <c r="A299" t="s">
        <v>29</v>
      </c>
      <c r="B299" s="1" t="s">
        <v>816</v>
      </c>
      <c r="C299" s="1" t="s">
        <v>69</v>
      </c>
      <c r="D299" s="1" t="s">
        <v>832</v>
      </c>
      <c r="E299" s="1" t="s">
        <v>380</v>
      </c>
      <c r="F299" s="1" t="s">
        <v>381</v>
      </c>
      <c r="G299" s="1" t="s">
        <v>833</v>
      </c>
      <c r="H299" s="1" t="s">
        <v>816</v>
      </c>
      <c r="I299" s="1">
        <v>38</v>
      </c>
      <c r="J299" s="2">
        <v>20986.35</v>
      </c>
      <c r="K299" s="2">
        <v>20986.35</v>
      </c>
      <c r="L299" s="2">
        <v>20986.35</v>
      </c>
      <c r="M299" s="2">
        <v>20986.35</v>
      </c>
      <c r="N299" s="1" t="s">
        <v>36</v>
      </c>
      <c r="O299" s="2">
        <v>1</v>
      </c>
      <c r="P299" s="3">
        <f t="shared" si="8"/>
        <v>15739.762499999999</v>
      </c>
      <c r="Q299" s="3" t="str">
        <f t="shared" si="9"/>
        <v>2990420986.35</v>
      </c>
      <c r="R299" t="s">
        <v>37</v>
      </c>
      <c r="AB299" t="s">
        <v>85</v>
      </c>
    </row>
    <row r="300" spans="1:28" hidden="1">
      <c r="A300" t="s">
        <v>29</v>
      </c>
      <c r="B300" s="1" t="s">
        <v>390</v>
      </c>
      <c r="C300" s="1" t="s">
        <v>69</v>
      </c>
      <c r="D300" s="1" t="s">
        <v>834</v>
      </c>
      <c r="E300" s="1" t="s">
        <v>616</v>
      </c>
      <c r="F300" s="1" t="s">
        <v>222</v>
      </c>
      <c r="G300" s="1" t="s">
        <v>617</v>
      </c>
      <c r="H300" s="1" t="s">
        <v>835</v>
      </c>
      <c r="I300" s="1">
        <v>37</v>
      </c>
      <c r="J300" s="2">
        <v>1030</v>
      </c>
      <c r="K300" s="2">
        <v>1030</v>
      </c>
      <c r="L300" s="2">
        <v>1030</v>
      </c>
      <c r="M300" s="2">
        <v>1030</v>
      </c>
      <c r="N300" s="1" t="s">
        <v>36</v>
      </c>
      <c r="O300" s="2">
        <v>1</v>
      </c>
      <c r="P300" s="3">
        <f t="shared" si="8"/>
        <v>772.5</v>
      </c>
      <c r="Q300" s="3" t="str">
        <f t="shared" si="9"/>
        <v>FGL00046281030</v>
      </c>
      <c r="R300" t="s">
        <v>139</v>
      </c>
      <c r="S300" t="s">
        <v>60</v>
      </c>
      <c r="AB300" t="s">
        <v>85</v>
      </c>
    </row>
    <row r="301" spans="1:28" hidden="1">
      <c r="A301" t="s">
        <v>29</v>
      </c>
      <c r="B301" s="1" t="s">
        <v>390</v>
      </c>
      <c r="C301" s="1" t="s">
        <v>69</v>
      </c>
      <c r="D301" s="1" t="s">
        <v>836</v>
      </c>
      <c r="E301" s="1" t="s">
        <v>584</v>
      </c>
      <c r="F301" s="1" t="s">
        <v>585</v>
      </c>
      <c r="G301" s="1" t="s">
        <v>586</v>
      </c>
      <c r="H301" s="1" t="s">
        <v>835</v>
      </c>
      <c r="I301" s="1">
        <v>37</v>
      </c>
      <c r="J301" s="2">
        <v>97.41</v>
      </c>
      <c r="K301" s="2">
        <v>97.41</v>
      </c>
      <c r="L301" s="2">
        <v>97.41</v>
      </c>
      <c r="M301" s="2">
        <v>97.41</v>
      </c>
      <c r="N301" s="1" t="s">
        <v>36</v>
      </c>
      <c r="O301" s="2">
        <v>1</v>
      </c>
      <c r="P301" s="3">
        <f t="shared" si="8"/>
        <v>73.057500000000005</v>
      </c>
      <c r="Q301" s="3" t="str">
        <f t="shared" si="9"/>
        <v>769847197.41</v>
      </c>
      <c r="R301" t="s">
        <v>758</v>
      </c>
      <c r="S301" t="s">
        <v>60</v>
      </c>
      <c r="AB301" t="s">
        <v>85</v>
      </c>
    </row>
    <row r="302" spans="1:28" hidden="1">
      <c r="A302" t="s">
        <v>29</v>
      </c>
      <c r="B302" s="1" t="s">
        <v>390</v>
      </c>
      <c r="C302" s="1" t="s">
        <v>69</v>
      </c>
      <c r="D302" s="1" t="s">
        <v>837</v>
      </c>
      <c r="E302" s="1" t="s">
        <v>584</v>
      </c>
      <c r="F302" s="1" t="s">
        <v>585</v>
      </c>
      <c r="G302" s="1" t="s">
        <v>586</v>
      </c>
      <c r="H302" s="1" t="s">
        <v>835</v>
      </c>
      <c r="I302" s="1">
        <v>37</v>
      </c>
      <c r="J302" s="2">
        <v>97.41</v>
      </c>
      <c r="K302" s="2">
        <v>97.41</v>
      </c>
      <c r="L302" s="2">
        <v>97.41</v>
      </c>
      <c r="M302" s="2">
        <v>97.41</v>
      </c>
      <c r="N302" s="1" t="s">
        <v>36</v>
      </c>
      <c r="O302" s="2">
        <v>1</v>
      </c>
      <c r="P302" s="3">
        <f t="shared" si="8"/>
        <v>73.057500000000005</v>
      </c>
      <c r="Q302" s="3" t="str">
        <f t="shared" si="9"/>
        <v>769845397.41</v>
      </c>
      <c r="R302" t="s">
        <v>758</v>
      </c>
      <c r="S302" t="s">
        <v>60</v>
      </c>
      <c r="AB302" t="s">
        <v>85</v>
      </c>
    </row>
    <row r="303" spans="1:28" hidden="1">
      <c r="A303" t="s">
        <v>29</v>
      </c>
      <c r="B303" s="1" t="s">
        <v>390</v>
      </c>
      <c r="C303" s="1" t="s">
        <v>69</v>
      </c>
      <c r="D303" s="1" t="s">
        <v>838</v>
      </c>
      <c r="E303" s="1" t="s">
        <v>584</v>
      </c>
      <c r="F303" s="1" t="s">
        <v>585</v>
      </c>
      <c r="G303" s="1" t="s">
        <v>586</v>
      </c>
      <c r="H303" s="1" t="s">
        <v>835</v>
      </c>
      <c r="I303" s="1">
        <v>37</v>
      </c>
      <c r="J303" s="2">
        <v>189.9</v>
      </c>
      <c r="K303" s="2">
        <v>189.9</v>
      </c>
      <c r="L303" s="2">
        <v>189.9</v>
      </c>
      <c r="M303" s="2">
        <v>189.9</v>
      </c>
      <c r="N303" s="1" t="s">
        <v>36</v>
      </c>
      <c r="O303" s="2">
        <v>1</v>
      </c>
      <c r="P303" s="3">
        <f t="shared" si="8"/>
        <v>142.42500000000001</v>
      </c>
      <c r="Q303" s="3" t="str">
        <f t="shared" si="9"/>
        <v>7698519189.9</v>
      </c>
      <c r="R303" t="s">
        <v>758</v>
      </c>
      <c r="S303" t="s">
        <v>60</v>
      </c>
      <c r="AB303" t="s">
        <v>85</v>
      </c>
    </row>
    <row r="304" spans="1:28" hidden="1">
      <c r="A304" t="s">
        <v>29</v>
      </c>
      <c r="B304" s="1" t="s">
        <v>390</v>
      </c>
      <c r="C304" s="1" t="s">
        <v>69</v>
      </c>
      <c r="D304" s="1" t="s">
        <v>839</v>
      </c>
      <c r="E304" s="1" t="s">
        <v>584</v>
      </c>
      <c r="F304" s="1" t="s">
        <v>585</v>
      </c>
      <c r="G304" s="1" t="s">
        <v>586</v>
      </c>
      <c r="H304" s="1" t="s">
        <v>835</v>
      </c>
      <c r="I304" s="1">
        <v>37</v>
      </c>
      <c r="J304" s="2">
        <v>189.9</v>
      </c>
      <c r="K304" s="2">
        <v>189.9</v>
      </c>
      <c r="L304" s="2">
        <v>189.9</v>
      </c>
      <c r="M304" s="2">
        <v>189.9</v>
      </c>
      <c r="N304" s="1" t="s">
        <v>36</v>
      </c>
      <c r="O304" s="2">
        <v>1</v>
      </c>
      <c r="P304" s="3">
        <f t="shared" si="8"/>
        <v>142.42500000000001</v>
      </c>
      <c r="Q304" s="3" t="str">
        <f t="shared" si="9"/>
        <v>7699147189.9</v>
      </c>
      <c r="R304" t="s">
        <v>758</v>
      </c>
      <c r="S304" t="s">
        <v>60</v>
      </c>
      <c r="AB304" t="s">
        <v>85</v>
      </c>
    </row>
    <row r="305" spans="1:28" hidden="1">
      <c r="A305" t="s">
        <v>29</v>
      </c>
      <c r="B305" s="1" t="s">
        <v>390</v>
      </c>
      <c r="C305" s="1" t="s">
        <v>69</v>
      </c>
      <c r="D305" s="1" t="s">
        <v>840</v>
      </c>
      <c r="E305" s="1" t="s">
        <v>584</v>
      </c>
      <c r="F305" s="1" t="s">
        <v>585</v>
      </c>
      <c r="G305" s="1" t="s">
        <v>586</v>
      </c>
      <c r="H305" s="1" t="s">
        <v>835</v>
      </c>
      <c r="I305" s="1">
        <v>37</v>
      </c>
      <c r="J305" s="2">
        <v>189.9</v>
      </c>
      <c r="K305" s="2">
        <v>189.9</v>
      </c>
      <c r="L305" s="2">
        <v>189.9</v>
      </c>
      <c r="M305" s="2">
        <v>189.9</v>
      </c>
      <c r="N305" s="1" t="s">
        <v>36</v>
      </c>
      <c r="O305" s="2">
        <v>1</v>
      </c>
      <c r="P305" s="3">
        <f t="shared" si="8"/>
        <v>142.42500000000001</v>
      </c>
      <c r="Q305" s="3" t="str">
        <f t="shared" si="9"/>
        <v>7698512189.9</v>
      </c>
      <c r="R305" t="s">
        <v>758</v>
      </c>
      <c r="S305" t="s">
        <v>60</v>
      </c>
      <c r="AB305" t="s">
        <v>85</v>
      </c>
    </row>
    <row r="306" spans="1:28" hidden="1">
      <c r="A306" t="s">
        <v>29</v>
      </c>
      <c r="B306" s="1" t="s">
        <v>390</v>
      </c>
      <c r="C306" s="1" t="s">
        <v>69</v>
      </c>
      <c r="D306" s="1" t="s">
        <v>841</v>
      </c>
      <c r="E306" s="1" t="s">
        <v>334</v>
      </c>
      <c r="F306" s="1" t="s">
        <v>335</v>
      </c>
      <c r="G306" s="1" t="s">
        <v>709</v>
      </c>
      <c r="H306" s="1" t="s">
        <v>835</v>
      </c>
      <c r="I306" s="1">
        <v>37</v>
      </c>
      <c r="J306" s="2">
        <v>4695.93</v>
      </c>
      <c r="K306" s="2">
        <v>4695.9300089999997</v>
      </c>
      <c r="L306" s="2">
        <v>3342.18</v>
      </c>
      <c r="M306" s="2">
        <v>3342.18</v>
      </c>
      <c r="N306" s="1" t="s">
        <v>45</v>
      </c>
      <c r="O306" s="2">
        <v>1.4050499999999999</v>
      </c>
      <c r="P306" s="3">
        <f t="shared" si="8"/>
        <v>3342.18</v>
      </c>
      <c r="Q306" s="3" t="str">
        <f t="shared" si="9"/>
        <v>29084130993342.18</v>
      </c>
      <c r="R306" t="s">
        <v>91</v>
      </c>
      <c r="S306" t="s">
        <v>60</v>
      </c>
      <c r="T306" t="s">
        <v>102</v>
      </c>
      <c r="AB306" t="s">
        <v>85</v>
      </c>
    </row>
    <row r="307" spans="1:28" hidden="1">
      <c r="A307" t="s">
        <v>29</v>
      </c>
      <c r="B307" s="1" t="s">
        <v>390</v>
      </c>
      <c r="C307" s="1" t="s">
        <v>69</v>
      </c>
      <c r="D307" s="1" t="s">
        <v>842</v>
      </c>
      <c r="E307" s="1" t="s">
        <v>334</v>
      </c>
      <c r="F307" s="1" t="s">
        <v>335</v>
      </c>
      <c r="G307" s="1" t="s">
        <v>843</v>
      </c>
      <c r="H307" s="1" t="s">
        <v>835</v>
      </c>
      <c r="I307" s="1">
        <v>37</v>
      </c>
      <c r="J307" s="2">
        <v>1.36</v>
      </c>
      <c r="K307" s="2">
        <v>1.3628985</v>
      </c>
      <c r="L307" s="2">
        <v>0.97</v>
      </c>
      <c r="M307" s="2">
        <v>0.97</v>
      </c>
      <c r="N307" s="1" t="s">
        <v>45</v>
      </c>
      <c r="O307" s="2">
        <v>1.4050499999999999</v>
      </c>
      <c r="P307" s="3">
        <f t="shared" si="8"/>
        <v>0.97</v>
      </c>
      <c r="Q307" s="3" t="str">
        <f t="shared" si="9"/>
        <v>29084138310.97</v>
      </c>
      <c r="R307" t="s">
        <v>91</v>
      </c>
      <c r="S307" t="s">
        <v>60</v>
      </c>
      <c r="T307" t="s">
        <v>102</v>
      </c>
      <c r="AB307" t="s">
        <v>85</v>
      </c>
    </row>
    <row r="308" spans="1:28" hidden="1">
      <c r="A308" t="s">
        <v>29</v>
      </c>
      <c r="B308" s="1" t="s">
        <v>390</v>
      </c>
      <c r="C308" s="1" t="s">
        <v>69</v>
      </c>
      <c r="D308" s="1" t="s">
        <v>844</v>
      </c>
      <c r="E308" s="1" t="s">
        <v>828</v>
      </c>
      <c r="F308" s="1" t="s">
        <v>829</v>
      </c>
      <c r="G308" s="1" t="s">
        <v>845</v>
      </c>
      <c r="H308" s="1" t="s">
        <v>835</v>
      </c>
      <c r="I308" s="1">
        <v>37</v>
      </c>
      <c r="J308" s="2">
        <v>51951.72</v>
      </c>
      <c r="K308" s="2">
        <v>51951.723749999997</v>
      </c>
      <c r="L308" s="2">
        <v>36975</v>
      </c>
      <c r="M308" s="2">
        <v>36975</v>
      </c>
      <c r="N308" s="1" t="s">
        <v>45</v>
      </c>
      <c r="O308" s="2">
        <v>1.4050499999999999</v>
      </c>
      <c r="P308" s="3">
        <f t="shared" si="8"/>
        <v>36975</v>
      </c>
      <c r="Q308" s="3" t="str">
        <f t="shared" si="9"/>
        <v>1059436975</v>
      </c>
      <c r="R308" t="s">
        <v>59</v>
      </c>
      <c r="S308" t="s">
        <v>60</v>
      </c>
      <c r="T308" t="s">
        <v>102</v>
      </c>
      <c r="AB308" t="s">
        <v>85</v>
      </c>
    </row>
    <row r="309" spans="1:28" hidden="1">
      <c r="A309" t="s">
        <v>29</v>
      </c>
      <c r="B309" s="1" t="s">
        <v>390</v>
      </c>
      <c r="C309" s="1" t="s">
        <v>69</v>
      </c>
      <c r="D309" s="1" t="s">
        <v>846</v>
      </c>
      <c r="E309" s="1" t="s">
        <v>498</v>
      </c>
      <c r="F309" s="1" t="s">
        <v>415</v>
      </c>
      <c r="G309" s="1" t="s">
        <v>847</v>
      </c>
      <c r="H309" s="1" t="s">
        <v>835</v>
      </c>
      <c r="I309" s="1">
        <v>37</v>
      </c>
      <c r="J309" s="2">
        <v>16860.599999999999</v>
      </c>
      <c r="K309" s="2">
        <v>16860.599999999999</v>
      </c>
      <c r="L309" s="2">
        <v>12000</v>
      </c>
      <c r="M309" s="2">
        <v>12000</v>
      </c>
      <c r="N309" s="1" t="s">
        <v>45</v>
      </c>
      <c r="O309" s="2">
        <v>1.4050499999999999</v>
      </c>
      <c r="P309" s="3">
        <f t="shared" si="8"/>
        <v>12000</v>
      </c>
      <c r="Q309" s="3" t="str">
        <f t="shared" si="9"/>
        <v>USPDS16930612000</v>
      </c>
      <c r="R309" t="s">
        <v>202</v>
      </c>
      <c r="S309" t="s">
        <v>60</v>
      </c>
      <c r="AB309" t="s">
        <v>85</v>
      </c>
    </row>
    <row r="310" spans="1:28" hidden="1">
      <c r="A310" t="s">
        <v>29</v>
      </c>
      <c r="B310" s="1" t="s">
        <v>835</v>
      </c>
      <c r="C310" s="1" t="s">
        <v>69</v>
      </c>
      <c r="D310" s="1" t="s">
        <v>848</v>
      </c>
      <c r="E310" s="1" t="s">
        <v>385</v>
      </c>
      <c r="F310" s="1" t="s">
        <v>386</v>
      </c>
      <c r="G310" s="1" t="s">
        <v>849</v>
      </c>
      <c r="H310" s="1" t="s">
        <v>835</v>
      </c>
      <c r="I310" s="1">
        <v>37</v>
      </c>
      <c r="J310" s="2">
        <v>110026.8</v>
      </c>
      <c r="K310" s="2">
        <v>110026.8010388</v>
      </c>
      <c r="L310" s="2">
        <v>79576.179999999993</v>
      </c>
      <c r="M310" s="2">
        <v>79576.179999999993</v>
      </c>
      <c r="N310" s="1" t="s">
        <v>45</v>
      </c>
      <c r="O310" s="2">
        <v>1.38266</v>
      </c>
      <c r="P310" s="3">
        <f t="shared" si="8"/>
        <v>79576.179999999993</v>
      </c>
      <c r="Q310" s="3" t="str">
        <f t="shared" si="9"/>
        <v>00008819679576.18</v>
      </c>
      <c r="R310" t="s">
        <v>74</v>
      </c>
      <c r="S310" t="s">
        <v>60</v>
      </c>
      <c r="T310" t="s">
        <v>102</v>
      </c>
      <c r="AB310" t="s">
        <v>85</v>
      </c>
    </row>
    <row r="311" spans="1:28" hidden="1">
      <c r="A311" t="s">
        <v>29</v>
      </c>
      <c r="B311" s="1" t="s">
        <v>409</v>
      </c>
      <c r="C311" s="1" t="s">
        <v>69</v>
      </c>
      <c r="D311" s="1" t="s">
        <v>850</v>
      </c>
      <c r="E311" s="1" t="s">
        <v>334</v>
      </c>
      <c r="F311" s="1" t="s">
        <v>335</v>
      </c>
      <c r="G311" s="1" t="s">
        <v>843</v>
      </c>
      <c r="H311" s="1" t="s">
        <v>851</v>
      </c>
      <c r="I311" s="1">
        <v>36</v>
      </c>
      <c r="J311" s="2">
        <v>1.36</v>
      </c>
      <c r="K311" s="2">
        <v>1.3628985</v>
      </c>
      <c r="L311" s="2">
        <v>0.97</v>
      </c>
      <c r="M311" s="2">
        <v>0.97</v>
      </c>
      <c r="N311" s="1" t="s">
        <v>45</v>
      </c>
      <c r="O311" s="2">
        <v>1.4050499999999999</v>
      </c>
      <c r="P311" s="3">
        <f t="shared" si="8"/>
        <v>0.97</v>
      </c>
      <c r="Q311" s="3" t="str">
        <f t="shared" si="9"/>
        <v>29084160410.97</v>
      </c>
      <c r="R311" t="s">
        <v>91</v>
      </c>
      <c r="S311" t="s">
        <v>60</v>
      </c>
      <c r="T311" t="s">
        <v>102</v>
      </c>
      <c r="AB311" t="s">
        <v>85</v>
      </c>
    </row>
    <row r="312" spans="1:28" hidden="1">
      <c r="A312" t="s">
        <v>29</v>
      </c>
      <c r="B312" s="1" t="s">
        <v>420</v>
      </c>
      <c r="C312" s="1" t="s">
        <v>69</v>
      </c>
      <c r="D312" s="1" t="s">
        <v>852</v>
      </c>
      <c r="E312" s="1" t="s">
        <v>334</v>
      </c>
      <c r="F312" s="1" t="s">
        <v>335</v>
      </c>
      <c r="G312" s="1" t="s">
        <v>853</v>
      </c>
      <c r="H312" s="1" t="s">
        <v>854</v>
      </c>
      <c r="I312" s="1">
        <v>35</v>
      </c>
      <c r="J312" s="2">
        <v>1168.23</v>
      </c>
      <c r="K312" s="2">
        <v>1168.2260693999999</v>
      </c>
      <c r="L312" s="2">
        <v>832.39</v>
      </c>
      <c r="M312" s="2">
        <v>832.39</v>
      </c>
      <c r="N312" s="1" t="s">
        <v>45</v>
      </c>
      <c r="O312" s="2">
        <v>1.4034599999999999</v>
      </c>
      <c r="P312" s="3">
        <f t="shared" si="8"/>
        <v>832.39</v>
      </c>
      <c r="Q312" s="3" t="str">
        <f t="shared" si="9"/>
        <v>2908418194832.39</v>
      </c>
      <c r="R312" t="s">
        <v>91</v>
      </c>
      <c r="S312" t="s">
        <v>60</v>
      </c>
      <c r="T312" t="s">
        <v>102</v>
      </c>
      <c r="AB312" t="s">
        <v>85</v>
      </c>
    </row>
    <row r="313" spans="1:28" hidden="1">
      <c r="A313" t="s">
        <v>29</v>
      </c>
      <c r="B313" s="1" t="s">
        <v>420</v>
      </c>
      <c r="C313" s="1" t="s">
        <v>69</v>
      </c>
      <c r="D313" s="1" t="s">
        <v>855</v>
      </c>
      <c r="E313" s="1" t="s">
        <v>334</v>
      </c>
      <c r="F313" s="1" t="s">
        <v>335</v>
      </c>
      <c r="G313" s="1" t="s">
        <v>856</v>
      </c>
      <c r="H313" s="1" t="s">
        <v>854</v>
      </c>
      <c r="I313" s="1">
        <v>35</v>
      </c>
      <c r="J313" s="2">
        <v>495.62</v>
      </c>
      <c r="K313" s="2">
        <v>495.61786439999997</v>
      </c>
      <c r="L313" s="2">
        <v>353.14</v>
      </c>
      <c r="M313" s="2">
        <v>353.14</v>
      </c>
      <c r="N313" s="1" t="s">
        <v>45</v>
      </c>
      <c r="O313" s="2">
        <v>1.4034599999999999</v>
      </c>
      <c r="P313" s="3">
        <f t="shared" si="8"/>
        <v>353.14</v>
      </c>
      <c r="Q313" s="3" t="str">
        <f t="shared" si="9"/>
        <v>2908418338353.14</v>
      </c>
      <c r="R313" t="s">
        <v>91</v>
      </c>
      <c r="S313" t="s">
        <v>60</v>
      </c>
      <c r="T313" t="s">
        <v>102</v>
      </c>
      <c r="AB313" t="s">
        <v>85</v>
      </c>
    </row>
    <row r="314" spans="1:28" hidden="1">
      <c r="A314" t="s">
        <v>29</v>
      </c>
      <c r="B314" s="1" t="s">
        <v>420</v>
      </c>
      <c r="C314" s="1" t="s">
        <v>69</v>
      </c>
      <c r="D314" s="1" t="s">
        <v>857</v>
      </c>
      <c r="E314" s="1" t="s">
        <v>334</v>
      </c>
      <c r="F314" s="1" t="s">
        <v>335</v>
      </c>
      <c r="G314" s="1" t="s">
        <v>858</v>
      </c>
      <c r="H314" s="1" t="s">
        <v>854</v>
      </c>
      <c r="I314" s="1">
        <v>35</v>
      </c>
      <c r="J314" s="2">
        <v>575.49</v>
      </c>
      <c r="K314" s="2">
        <v>575.48877300000004</v>
      </c>
      <c r="L314" s="2">
        <v>410.05</v>
      </c>
      <c r="M314" s="2">
        <v>410.05</v>
      </c>
      <c r="N314" s="1" t="s">
        <v>45</v>
      </c>
      <c r="O314" s="2">
        <v>1.4034599999999999</v>
      </c>
      <c r="P314" s="3">
        <f t="shared" si="8"/>
        <v>410.05</v>
      </c>
      <c r="Q314" s="3" t="str">
        <f t="shared" si="9"/>
        <v>2908418339410.05</v>
      </c>
      <c r="R314" t="s">
        <v>91</v>
      </c>
      <c r="S314" t="s">
        <v>60</v>
      </c>
      <c r="T314" t="s">
        <v>102</v>
      </c>
      <c r="AB314" t="s">
        <v>85</v>
      </c>
    </row>
    <row r="315" spans="1:28" hidden="1">
      <c r="A315" t="s">
        <v>29</v>
      </c>
      <c r="B315" s="1" t="s">
        <v>420</v>
      </c>
      <c r="C315" s="1" t="s">
        <v>69</v>
      </c>
      <c r="D315" s="1" t="s">
        <v>859</v>
      </c>
      <c r="E315" s="1" t="s">
        <v>334</v>
      </c>
      <c r="F315" s="1" t="s">
        <v>335</v>
      </c>
      <c r="G315" s="1" t="s">
        <v>860</v>
      </c>
      <c r="H315" s="1" t="s">
        <v>854</v>
      </c>
      <c r="I315" s="1">
        <v>35</v>
      </c>
      <c r="J315" s="2">
        <v>50.58</v>
      </c>
      <c r="K315" s="2">
        <v>50.580698400000003</v>
      </c>
      <c r="L315" s="2">
        <v>36.04</v>
      </c>
      <c r="M315" s="2">
        <v>36.04</v>
      </c>
      <c r="N315" s="1" t="s">
        <v>45</v>
      </c>
      <c r="O315" s="2">
        <v>1.4034599999999999</v>
      </c>
      <c r="P315" s="3">
        <f t="shared" si="8"/>
        <v>36.04</v>
      </c>
      <c r="Q315" s="3" t="str">
        <f t="shared" si="9"/>
        <v>290841874436.04</v>
      </c>
      <c r="R315" t="s">
        <v>91</v>
      </c>
      <c r="S315" t="s">
        <v>60</v>
      </c>
      <c r="T315" t="s">
        <v>102</v>
      </c>
      <c r="AB315" t="s">
        <v>85</v>
      </c>
    </row>
    <row r="316" spans="1:28" hidden="1">
      <c r="A316" t="s">
        <v>29</v>
      </c>
      <c r="B316" s="1" t="s">
        <v>420</v>
      </c>
      <c r="C316" s="1" t="s">
        <v>69</v>
      </c>
      <c r="D316" s="1" t="s">
        <v>861</v>
      </c>
      <c r="E316" s="1" t="s">
        <v>334</v>
      </c>
      <c r="F316" s="1" t="s">
        <v>335</v>
      </c>
      <c r="G316" s="1" t="s">
        <v>862</v>
      </c>
      <c r="H316" s="1" t="s">
        <v>854</v>
      </c>
      <c r="I316" s="1">
        <v>35</v>
      </c>
      <c r="J316" s="2">
        <v>4832.2299999999996</v>
      </c>
      <c r="K316" s="2">
        <v>4832.2250567999999</v>
      </c>
      <c r="L316" s="2">
        <v>3443.08</v>
      </c>
      <c r="M316" s="2">
        <v>3443.08</v>
      </c>
      <c r="N316" s="1" t="s">
        <v>45</v>
      </c>
      <c r="O316" s="2">
        <v>1.4034599999999999</v>
      </c>
      <c r="P316" s="3">
        <f t="shared" si="8"/>
        <v>3443.08</v>
      </c>
      <c r="Q316" s="3" t="str">
        <f t="shared" si="9"/>
        <v>29084170353443.08</v>
      </c>
      <c r="R316" t="s">
        <v>91</v>
      </c>
      <c r="S316" t="s">
        <v>60</v>
      </c>
      <c r="T316" t="s">
        <v>102</v>
      </c>
      <c r="AB316" t="s">
        <v>85</v>
      </c>
    </row>
    <row r="317" spans="1:28" hidden="1">
      <c r="A317" t="s">
        <v>29</v>
      </c>
      <c r="B317" s="1" t="s">
        <v>555</v>
      </c>
      <c r="C317" s="1" t="s">
        <v>69</v>
      </c>
      <c r="D317" s="1" t="s">
        <v>863</v>
      </c>
      <c r="E317" s="1" t="s">
        <v>156</v>
      </c>
      <c r="F317" s="1" t="s">
        <v>156</v>
      </c>
      <c r="G317" s="1" t="s">
        <v>713</v>
      </c>
      <c r="H317" s="1" t="s">
        <v>854</v>
      </c>
      <c r="I317" s="1">
        <v>35</v>
      </c>
      <c r="J317" s="2">
        <v>4885.5200000000004</v>
      </c>
      <c r="K317" s="2">
        <v>4885.5200000000004</v>
      </c>
      <c r="L317" s="2">
        <v>4885.5200000000004</v>
      </c>
      <c r="M317" s="2">
        <v>4885.5200000000004</v>
      </c>
      <c r="N317" s="1" t="s">
        <v>36</v>
      </c>
      <c r="O317" s="2">
        <v>1</v>
      </c>
      <c r="P317" s="3">
        <f t="shared" si="8"/>
        <v>3664.1400000000003</v>
      </c>
      <c r="Q317" s="3" t="str">
        <f t="shared" si="9"/>
        <v>2-699-580014885.52</v>
      </c>
      <c r="R317" t="s">
        <v>758</v>
      </c>
      <c r="S317" t="s">
        <v>60</v>
      </c>
      <c r="AB317" t="s">
        <v>85</v>
      </c>
    </row>
    <row r="318" spans="1:28" hidden="1">
      <c r="A318" t="s">
        <v>29</v>
      </c>
      <c r="B318" s="1" t="s">
        <v>555</v>
      </c>
      <c r="C318" s="1" t="s">
        <v>69</v>
      </c>
      <c r="D318" s="1" t="s">
        <v>864</v>
      </c>
      <c r="E318" s="1" t="s">
        <v>156</v>
      </c>
      <c r="F318" s="1" t="s">
        <v>156</v>
      </c>
      <c r="G318" s="1" t="s">
        <v>865</v>
      </c>
      <c r="H318" s="1" t="s">
        <v>854</v>
      </c>
      <c r="I318" s="1">
        <v>35</v>
      </c>
      <c r="J318" s="2">
        <v>371.7</v>
      </c>
      <c r="K318" s="2">
        <v>371.7</v>
      </c>
      <c r="L318" s="2">
        <v>371.7</v>
      </c>
      <c r="M318" s="2">
        <v>371.7</v>
      </c>
      <c r="N318" s="1" t="s">
        <v>36</v>
      </c>
      <c r="O318" s="2">
        <v>1</v>
      </c>
      <c r="P318" s="3">
        <f t="shared" si="8"/>
        <v>278.77499999999998</v>
      </c>
      <c r="Q318" s="3" t="str">
        <f t="shared" si="9"/>
        <v>2-699-76801371.7</v>
      </c>
      <c r="AB318" t="s">
        <v>85</v>
      </c>
    </row>
    <row r="319" spans="1:28" hidden="1">
      <c r="A319" t="s">
        <v>29</v>
      </c>
      <c r="B319" s="1" t="s">
        <v>854</v>
      </c>
      <c r="C319" s="1" t="s">
        <v>31</v>
      </c>
      <c r="D319" s="1" t="s">
        <v>32</v>
      </c>
      <c r="E319" s="1" t="s">
        <v>866</v>
      </c>
      <c r="F319" s="1" t="s">
        <v>867</v>
      </c>
      <c r="G319" s="1" t="s">
        <v>868</v>
      </c>
      <c r="H319" s="1" t="s">
        <v>854</v>
      </c>
      <c r="I319" s="1">
        <v>35</v>
      </c>
      <c r="J319" s="2">
        <v>-87764.41</v>
      </c>
      <c r="K319" s="2">
        <v>-87764.41072</v>
      </c>
      <c r="L319" s="2">
        <v>-63340</v>
      </c>
      <c r="M319" s="2">
        <v>-63340</v>
      </c>
      <c r="N319" s="1" t="s">
        <v>45</v>
      </c>
      <c r="O319" s="2">
        <v>1.385608</v>
      </c>
      <c r="P319" s="3">
        <f t="shared" si="8"/>
        <v>-63340</v>
      </c>
      <c r="Q319" s="3" t="str">
        <f t="shared" si="9"/>
        <v>-63340</v>
      </c>
      <c r="AB319" t="s">
        <v>40</v>
      </c>
    </row>
    <row r="320" spans="1:28" hidden="1">
      <c r="A320" t="s">
        <v>29</v>
      </c>
      <c r="B320" s="1" t="s">
        <v>854</v>
      </c>
      <c r="C320" s="1" t="s">
        <v>42</v>
      </c>
      <c r="D320" s="1" t="s">
        <v>869</v>
      </c>
      <c r="E320" s="1" t="s">
        <v>308</v>
      </c>
      <c r="F320" s="1" t="s">
        <v>309</v>
      </c>
      <c r="G320" s="1" t="s">
        <v>32</v>
      </c>
      <c r="H320" s="1" t="s">
        <v>854</v>
      </c>
      <c r="I320" s="1">
        <v>35</v>
      </c>
      <c r="J320" s="2">
        <v>-34874.92</v>
      </c>
      <c r="K320" s="2">
        <v>-18136.5</v>
      </c>
      <c r="L320" s="2">
        <v>-34874.92</v>
      </c>
      <c r="M320" s="2">
        <v>-18136.5</v>
      </c>
      <c r="N320" s="1" t="s">
        <v>36</v>
      </c>
      <c r="O320" s="2">
        <v>1</v>
      </c>
      <c r="P320" s="3">
        <f t="shared" si="8"/>
        <v>-13602.375</v>
      </c>
      <c r="Q320" s="3" t="str">
        <f t="shared" si="9"/>
        <v>28-18136.5</v>
      </c>
      <c r="AB320" t="s">
        <v>40</v>
      </c>
    </row>
    <row r="321" spans="1:28" hidden="1">
      <c r="A321" t="s">
        <v>29</v>
      </c>
      <c r="B321" s="1" t="s">
        <v>854</v>
      </c>
      <c r="C321" s="1" t="s">
        <v>31</v>
      </c>
      <c r="D321" s="1" t="s">
        <v>32</v>
      </c>
      <c r="E321" s="1" t="s">
        <v>866</v>
      </c>
      <c r="F321" s="1" t="s">
        <v>867</v>
      </c>
      <c r="G321" s="1" t="s">
        <v>868</v>
      </c>
      <c r="H321" s="1" t="s">
        <v>854</v>
      </c>
      <c r="I321" s="1">
        <v>35</v>
      </c>
      <c r="J321" s="2">
        <v>-91530.05</v>
      </c>
      <c r="K321" s="2">
        <v>-91530.053892940006</v>
      </c>
      <c r="L321" s="2">
        <v>-66101.62</v>
      </c>
      <c r="M321" s="2">
        <v>-66101.62</v>
      </c>
      <c r="N321" s="1" t="s">
        <v>45</v>
      </c>
      <c r="O321" s="2">
        <v>1.384687</v>
      </c>
      <c r="P321" s="3">
        <f t="shared" ref="P321:P384" si="10">IF(N321="CAD",$P$1,1)*M321</f>
        <v>-66101.62</v>
      </c>
      <c r="Q321" s="3" t="str">
        <f t="shared" ref="Q321:Q384" si="11">D321&amp;M321</f>
        <v>-66101.62</v>
      </c>
      <c r="AB321" t="s">
        <v>40</v>
      </c>
    </row>
    <row r="322" spans="1:28" hidden="1">
      <c r="A322" t="s">
        <v>29</v>
      </c>
      <c r="B322" s="1" t="s">
        <v>426</v>
      </c>
      <c r="C322" s="1" t="s">
        <v>69</v>
      </c>
      <c r="D322" s="1" t="s">
        <v>870</v>
      </c>
      <c r="E322" s="1" t="s">
        <v>414</v>
      </c>
      <c r="F322" s="1" t="s">
        <v>415</v>
      </c>
      <c r="G322" s="1" t="s">
        <v>871</v>
      </c>
      <c r="H322" s="1" t="s">
        <v>872</v>
      </c>
      <c r="I322" s="1">
        <v>34</v>
      </c>
      <c r="J322" s="2">
        <v>20914.04</v>
      </c>
      <c r="K322" s="2">
        <v>20914.04</v>
      </c>
      <c r="L322" s="2">
        <v>20914.04</v>
      </c>
      <c r="M322" s="2">
        <v>20914.04</v>
      </c>
      <c r="N322" s="1" t="s">
        <v>36</v>
      </c>
      <c r="O322" s="2">
        <v>1</v>
      </c>
      <c r="P322" s="3">
        <f t="shared" si="10"/>
        <v>15685.53</v>
      </c>
      <c r="Q322" s="3" t="str">
        <f t="shared" si="11"/>
        <v>CA01409115020914.04</v>
      </c>
      <c r="R322" t="s">
        <v>202</v>
      </c>
      <c r="S322" t="s">
        <v>60</v>
      </c>
      <c r="AB322" t="s">
        <v>147</v>
      </c>
    </row>
    <row r="323" spans="1:28" hidden="1">
      <c r="A323" t="s">
        <v>29</v>
      </c>
      <c r="B323" s="1" t="s">
        <v>426</v>
      </c>
      <c r="C323" s="1" t="s">
        <v>69</v>
      </c>
      <c r="D323" s="1" t="s">
        <v>873</v>
      </c>
      <c r="E323" s="1" t="s">
        <v>334</v>
      </c>
      <c r="F323" s="1" t="s">
        <v>335</v>
      </c>
      <c r="G323" s="1" t="s">
        <v>874</v>
      </c>
      <c r="H323" s="1" t="s">
        <v>872</v>
      </c>
      <c r="I323" s="1">
        <v>34</v>
      </c>
      <c r="J323" s="2">
        <v>218.09</v>
      </c>
      <c r="K323" s="2">
        <v>218.09146799999999</v>
      </c>
      <c r="L323" s="2">
        <v>155.4</v>
      </c>
      <c r="M323" s="2">
        <v>155.4</v>
      </c>
      <c r="N323" s="1" t="s">
        <v>45</v>
      </c>
      <c r="O323" s="2">
        <v>1.4034199999999999</v>
      </c>
      <c r="P323" s="3">
        <f t="shared" si="10"/>
        <v>155.4</v>
      </c>
      <c r="Q323" s="3" t="str">
        <f t="shared" si="11"/>
        <v>2908419227155.4</v>
      </c>
      <c r="R323" t="s">
        <v>91</v>
      </c>
      <c r="S323" t="s">
        <v>60</v>
      </c>
      <c r="T323" t="s">
        <v>102</v>
      </c>
      <c r="AB323" t="s">
        <v>147</v>
      </c>
    </row>
    <row r="324" spans="1:28" hidden="1">
      <c r="A324" t="s">
        <v>29</v>
      </c>
      <c r="B324" s="1" t="s">
        <v>426</v>
      </c>
      <c r="C324" s="1" t="s">
        <v>69</v>
      </c>
      <c r="D324" s="1" t="s">
        <v>875</v>
      </c>
      <c r="E324" s="1" t="s">
        <v>334</v>
      </c>
      <c r="F324" s="1" t="s">
        <v>335</v>
      </c>
      <c r="G324" s="1" t="s">
        <v>709</v>
      </c>
      <c r="H324" s="1" t="s">
        <v>872</v>
      </c>
      <c r="I324" s="1">
        <v>34</v>
      </c>
      <c r="J324" s="2">
        <v>1769.99</v>
      </c>
      <c r="K324" s="2">
        <v>1769.9933040000001</v>
      </c>
      <c r="L324" s="2">
        <v>1261.2</v>
      </c>
      <c r="M324" s="2">
        <v>1261.2</v>
      </c>
      <c r="N324" s="1" t="s">
        <v>45</v>
      </c>
      <c r="O324" s="2">
        <v>1.4034199999999999</v>
      </c>
      <c r="P324" s="3">
        <f t="shared" si="10"/>
        <v>1261.2</v>
      </c>
      <c r="Q324" s="3" t="str">
        <f t="shared" si="11"/>
        <v>29084196531261.2</v>
      </c>
      <c r="R324" t="s">
        <v>91</v>
      </c>
      <c r="S324" t="s">
        <v>60</v>
      </c>
      <c r="T324" t="s">
        <v>102</v>
      </c>
      <c r="AB324" t="s">
        <v>147</v>
      </c>
    </row>
    <row r="325" spans="1:28" hidden="1">
      <c r="A325" t="s">
        <v>29</v>
      </c>
      <c r="B325" s="1" t="s">
        <v>426</v>
      </c>
      <c r="C325" s="1" t="s">
        <v>69</v>
      </c>
      <c r="D325" s="1" t="s">
        <v>876</v>
      </c>
      <c r="E325" s="1" t="s">
        <v>334</v>
      </c>
      <c r="F325" s="1" t="s">
        <v>335</v>
      </c>
      <c r="G325" s="1" t="s">
        <v>877</v>
      </c>
      <c r="H325" s="1" t="s">
        <v>872</v>
      </c>
      <c r="I325" s="1">
        <v>34</v>
      </c>
      <c r="J325" s="2">
        <v>2.74</v>
      </c>
      <c r="K325" s="2">
        <v>2.736669</v>
      </c>
      <c r="L325" s="2">
        <v>1.95</v>
      </c>
      <c r="M325" s="2">
        <v>1.95</v>
      </c>
      <c r="N325" s="1" t="s">
        <v>45</v>
      </c>
      <c r="O325" s="2">
        <v>1.4034199999999999</v>
      </c>
      <c r="P325" s="3">
        <f t="shared" si="10"/>
        <v>1.95</v>
      </c>
      <c r="Q325" s="3" t="str">
        <f t="shared" si="11"/>
        <v>29084196541.95</v>
      </c>
      <c r="R325" t="s">
        <v>91</v>
      </c>
      <c r="S325" t="s">
        <v>60</v>
      </c>
      <c r="T325" t="s">
        <v>102</v>
      </c>
      <c r="AB325" t="s">
        <v>147</v>
      </c>
    </row>
    <row r="326" spans="1:28" hidden="1">
      <c r="A326" t="s">
        <v>29</v>
      </c>
      <c r="B326" s="1" t="s">
        <v>426</v>
      </c>
      <c r="C326" s="1" t="s">
        <v>69</v>
      </c>
      <c r="D326" s="1" t="s">
        <v>878</v>
      </c>
      <c r="E326" s="1" t="s">
        <v>334</v>
      </c>
      <c r="F326" s="1" t="s">
        <v>335</v>
      </c>
      <c r="G326" s="1" t="s">
        <v>643</v>
      </c>
      <c r="H326" s="1" t="s">
        <v>872</v>
      </c>
      <c r="I326" s="1">
        <v>34</v>
      </c>
      <c r="J326" s="2">
        <v>4091.6</v>
      </c>
      <c r="K326" s="2">
        <v>4091.6008390000002</v>
      </c>
      <c r="L326" s="2">
        <v>2915.45</v>
      </c>
      <c r="M326" s="2">
        <v>2915.45</v>
      </c>
      <c r="N326" s="1" t="s">
        <v>45</v>
      </c>
      <c r="O326" s="2">
        <v>1.4034199999999999</v>
      </c>
      <c r="P326" s="3">
        <f t="shared" si="10"/>
        <v>2915.45</v>
      </c>
      <c r="Q326" s="3" t="str">
        <f t="shared" si="11"/>
        <v>29084205132915.45</v>
      </c>
      <c r="R326" t="s">
        <v>91</v>
      </c>
      <c r="S326" t="s">
        <v>60</v>
      </c>
      <c r="T326" t="s">
        <v>102</v>
      </c>
      <c r="AB326" t="s">
        <v>147</v>
      </c>
    </row>
    <row r="327" spans="1:28" hidden="1">
      <c r="A327" t="s">
        <v>29</v>
      </c>
      <c r="B327" s="1" t="s">
        <v>426</v>
      </c>
      <c r="C327" s="1" t="s">
        <v>69</v>
      </c>
      <c r="D327" s="1" t="s">
        <v>879</v>
      </c>
      <c r="E327" s="1" t="s">
        <v>334</v>
      </c>
      <c r="F327" s="1" t="s">
        <v>335</v>
      </c>
      <c r="G327" s="1" t="s">
        <v>748</v>
      </c>
      <c r="H327" s="1" t="s">
        <v>872</v>
      </c>
      <c r="I327" s="1">
        <v>34</v>
      </c>
      <c r="J327" s="2">
        <v>16.77</v>
      </c>
      <c r="K327" s="2">
        <v>16.770869000000001</v>
      </c>
      <c r="L327" s="2">
        <v>11.95</v>
      </c>
      <c r="M327" s="2">
        <v>11.95</v>
      </c>
      <c r="N327" s="1" t="s">
        <v>45</v>
      </c>
      <c r="O327" s="2">
        <v>1.4034199999999999</v>
      </c>
      <c r="P327" s="3">
        <f t="shared" si="10"/>
        <v>11.95</v>
      </c>
      <c r="Q327" s="3" t="str">
        <f t="shared" si="11"/>
        <v>290842089111.95</v>
      </c>
      <c r="R327" t="s">
        <v>91</v>
      </c>
      <c r="S327" t="s">
        <v>60</v>
      </c>
      <c r="T327" t="s">
        <v>102</v>
      </c>
      <c r="AB327" t="s">
        <v>147</v>
      </c>
    </row>
    <row r="328" spans="1:28" hidden="1">
      <c r="A328" t="s">
        <v>29</v>
      </c>
      <c r="B328" s="1" t="s">
        <v>426</v>
      </c>
      <c r="C328" s="1" t="s">
        <v>69</v>
      </c>
      <c r="D328" s="1" t="s">
        <v>880</v>
      </c>
      <c r="E328" s="1" t="s">
        <v>334</v>
      </c>
      <c r="F328" s="1" t="s">
        <v>335</v>
      </c>
      <c r="G328" s="1" t="s">
        <v>881</v>
      </c>
      <c r="H328" s="1" t="s">
        <v>872</v>
      </c>
      <c r="I328" s="1">
        <v>34</v>
      </c>
      <c r="J328" s="2">
        <v>3450.31</v>
      </c>
      <c r="K328" s="2">
        <v>3450.30807</v>
      </c>
      <c r="L328" s="2">
        <v>2458.5</v>
      </c>
      <c r="M328" s="2">
        <v>2458.5</v>
      </c>
      <c r="N328" s="1" t="s">
        <v>45</v>
      </c>
      <c r="O328" s="2">
        <v>1.4034199999999999</v>
      </c>
      <c r="P328" s="3">
        <f t="shared" si="10"/>
        <v>2458.5</v>
      </c>
      <c r="Q328" s="3" t="str">
        <f t="shared" si="11"/>
        <v>29084211702458.5</v>
      </c>
      <c r="R328" t="s">
        <v>91</v>
      </c>
      <c r="S328" t="s">
        <v>60</v>
      </c>
      <c r="T328" t="s">
        <v>102</v>
      </c>
      <c r="AB328" t="s">
        <v>147</v>
      </c>
    </row>
    <row r="329" spans="1:28" hidden="1">
      <c r="A329" t="s">
        <v>29</v>
      </c>
      <c r="B329" s="1" t="s">
        <v>426</v>
      </c>
      <c r="C329" s="1" t="s">
        <v>69</v>
      </c>
      <c r="D329" s="1" t="s">
        <v>882</v>
      </c>
      <c r="E329" s="1" t="s">
        <v>392</v>
      </c>
      <c r="F329" s="1" t="s">
        <v>393</v>
      </c>
      <c r="G329" s="1" t="s">
        <v>401</v>
      </c>
      <c r="H329" s="1" t="s">
        <v>872</v>
      </c>
      <c r="I329" s="1">
        <v>34</v>
      </c>
      <c r="J329" s="2">
        <v>23504</v>
      </c>
      <c r="K329" s="2">
        <v>23504</v>
      </c>
      <c r="L329" s="2">
        <v>23504</v>
      </c>
      <c r="M329" s="2">
        <v>23504</v>
      </c>
      <c r="N329" s="1" t="s">
        <v>36</v>
      </c>
      <c r="O329" s="2">
        <v>1</v>
      </c>
      <c r="P329" s="3">
        <f t="shared" si="10"/>
        <v>17628</v>
      </c>
      <c r="Q329" s="3" t="str">
        <f t="shared" si="11"/>
        <v>000208623504</v>
      </c>
      <c r="R329" t="s">
        <v>166</v>
      </c>
      <c r="AB329" t="s">
        <v>147</v>
      </c>
    </row>
    <row r="330" spans="1:28" hidden="1">
      <c r="A330" t="s">
        <v>29</v>
      </c>
      <c r="B330" s="1" t="s">
        <v>439</v>
      </c>
      <c r="C330" s="1" t="s">
        <v>69</v>
      </c>
      <c r="D330" s="1" t="s">
        <v>883</v>
      </c>
      <c r="E330" s="1" t="s">
        <v>180</v>
      </c>
      <c r="F330" s="1" t="s">
        <v>180</v>
      </c>
      <c r="G330" s="1" t="s">
        <v>884</v>
      </c>
      <c r="H330" s="1" t="s">
        <v>872</v>
      </c>
      <c r="I330" s="1">
        <v>34</v>
      </c>
      <c r="J330" s="2">
        <v>39783.97</v>
      </c>
      <c r="K330" s="2">
        <v>39783.97</v>
      </c>
      <c r="L330" s="2">
        <v>39783.97</v>
      </c>
      <c r="M330" s="2">
        <v>39783.97</v>
      </c>
      <c r="N330" s="1" t="s">
        <v>36</v>
      </c>
      <c r="O330" s="2">
        <v>1</v>
      </c>
      <c r="P330" s="3">
        <f t="shared" si="10"/>
        <v>29837.977500000001</v>
      </c>
      <c r="Q330" s="3" t="str">
        <f t="shared" si="11"/>
        <v>829739783.97</v>
      </c>
      <c r="R330" t="s">
        <v>37</v>
      </c>
      <c r="S330" t="s">
        <v>60</v>
      </c>
      <c r="T330" t="s">
        <v>102</v>
      </c>
      <c r="AB330" t="s">
        <v>147</v>
      </c>
    </row>
    <row r="331" spans="1:28" hidden="1">
      <c r="A331" t="s">
        <v>29</v>
      </c>
      <c r="B331" s="1" t="s">
        <v>560</v>
      </c>
      <c r="C331" s="1" t="s">
        <v>69</v>
      </c>
      <c r="D331" s="1" t="s">
        <v>885</v>
      </c>
      <c r="E331" s="1" t="s">
        <v>156</v>
      </c>
      <c r="F331" s="1" t="s">
        <v>156</v>
      </c>
      <c r="G331" s="1" t="s">
        <v>886</v>
      </c>
      <c r="H331" s="1" t="s">
        <v>872</v>
      </c>
      <c r="I331" s="1">
        <v>34</v>
      </c>
      <c r="J331" s="2">
        <v>197.22</v>
      </c>
      <c r="K331" s="2">
        <v>197.22</v>
      </c>
      <c r="L331" s="2">
        <v>197.22</v>
      </c>
      <c r="M331" s="2">
        <v>197.22</v>
      </c>
      <c r="N331" s="1" t="s">
        <v>36</v>
      </c>
      <c r="O331" s="2">
        <v>1</v>
      </c>
      <c r="P331" s="3">
        <f t="shared" si="10"/>
        <v>147.91499999999999</v>
      </c>
      <c r="Q331" s="3" t="str">
        <f t="shared" si="11"/>
        <v>2-700-01448197.22</v>
      </c>
      <c r="AB331" t="s">
        <v>147</v>
      </c>
    </row>
    <row r="332" spans="1:28" hidden="1">
      <c r="A332" t="s">
        <v>29</v>
      </c>
      <c r="B332" s="1" t="s">
        <v>872</v>
      </c>
      <c r="C332" s="1" t="s">
        <v>69</v>
      </c>
      <c r="D332" s="1" t="s">
        <v>887</v>
      </c>
      <c r="E332" s="1" t="s">
        <v>628</v>
      </c>
      <c r="F332" s="1" t="s">
        <v>629</v>
      </c>
      <c r="G332" s="1" t="s">
        <v>715</v>
      </c>
      <c r="H332" s="1" t="s">
        <v>872</v>
      </c>
      <c r="I332" s="1">
        <v>34</v>
      </c>
      <c r="J332" s="2">
        <v>17382923.960000001</v>
      </c>
      <c r="K332" s="2">
        <v>8404525.9560407195</v>
      </c>
      <c r="L332" s="2">
        <v>12584539.66</v>
      </c>
      <c r="M332" s="2">
        <v>6084539.6600000001</v>
      </c>
      <c r="N332" s="1" t="s">
        <v>45</v>
      </c>
      <c r="O332" s="2">
        <v>1.381292</v>
      </c>
      <c r="P332" s="3">
        <f t="shared" si="10"/>
        <v>6084539.6600000001</v>
      </c>
      <c r="Q332" s="3" t="str">
        <f t="shared" si="11"/>
        <v>20251210M126084539.66</v>
      </c>
      <c r="R332" t="s">
        <v>631</v>
      </c>
      <c r="AB332" t="s">
        <v>147</v>
      </c>
    </row>
    <row r="333" spans="1:28" hidden="1">
      <c r="A333" t="s">
        <v>29</v>
      </c>
      <c r="B333" s="1" t="s">
        <v>872</v>
      </c>
      <c r="C333" s="1" t="s">
        <v>69</v>
      </c>
      <c r="D333" s="1" t="s">
        <v>888</v>
      </c>
      <c r="E333" s="1" t="s">
        <v>889</v>
      </c>
      <c r="F333" s="1" t="s">
        <v>890</v>
      </c>
      <c r="G333" s="1" t="s">
        <v>891</v>
      </c>
      <c r="H333" s="1" t="s">
        <v>872</v>
      </c>
      <c r="I333" s="1">
        <v>34</v>
      </c>
      <c r="J333" s="2">
        <v>25564.89</v>
      </c>
      <c r="K333" s="2">
        <v>25564.89</v>
      </c>
      <c r="L333" s="2">
        <v>25564.89</v>
      </c>
      <c r="M333" s="2">
        <v>25564.89</v>
      </c>
      <c r="N333" s="1" t="s">
        <v>36</v>
      </c>
      <c r="O333" s="2">
        <v>1</v>
      </c>
      <c r="P333" s="3">
        <f t="shared" si="10"/>
        <v>19173.6675</v>
      </c>
      <c r="Q333" s="3" t="str">
        <f t="shared" si="11"/>
        <v>1464025564.89</v>
      </c>
      <c r="R333" t="s">
        <v>74</v>
      </c>
      <c r="S333" t="s">
        <v>155</v>
      </c>
      <c r="AB333" t="s">
        <v>147</v>
      </c>
    </row>
    <row r="334" spans="1:28" hidden="1">
      <c r="A334" t="s">
        <v>29</v>
      </c>
      <c r="B334" s="1" t="s">
        <v>872</v>
      </c>
      <c r="C334" s="1" t="s">
        <v>31</v>
      </c>
      <c r="D334" s="1" t="s">
        <v>32</v>
      </c>
      <c r="E334" s="1" t="s">
        <v>98</v>
      </c>
      <c r="F334" s="1" t="s">
        <v>99</v>
      </c>
      <c r="G334" s="1" t="s">
        <v>892</v>
      </c>
      <c r="H334" s="1" t="s">
        <v>872</v>
      </c>
      <c r="I334" s="1">
        <v>34</v>
      </c>
      <c r="J334" s="2">
        <v>-7325.75</v>
      </c>
      <c r="K334" s="2">
        <v>-7325.7511866000004</v>
      </c>
      <c r="L334" s="2">
        <v>-5303.55</v>
      </c>
      <c r="M334" s="2">
        <v>-5303.55</v>
      </c>
      <c r="N334" s="1" t="s">
        <v>45</v>
      </c>
      <c r="O334" s="2">
        <v>1.381292</v>
      </c>
      <c r="P334" s="3">
        <f t="shared" si="10"/>
        <v>-5303.55</v>
      </c>
      <c r="Q334" s="3" t="str">
        <f t="shared" si="11"/>
        <v>-5303.55</v>
      </c>
      <c r="AB334" t="s">
        <v>40</v>
      </c>
    </row>
    <row r="335" spans="1:28" hidden="1">
      <c r="A335" t="s">
        <v>29</v>
      </c>
      <c r="B335" s="1" t="s">
        <v>439</v>
      </c>
      <c r="C335" s="1" t="s">
        <v>69</v>
      </c>
      <c r="D335" s="1" t="s">
        <v>893</v>
      </c>
      <c r="E335" s="1" t="s">
        <v>485</v>
      </c>
      <c r="F335" s="1" t="s">
        <v>486</v>
      </c>
      <c r="G335" s="1" t="s">
        <v>894</v>
      </c>
      <c r="H335" s="1" t="s">
        <v>895</v>
      </c>
      <c r="I335" s="1">
        <v>33</v>
      </c>
      <c r="J335" s="2">
        <v>560.65</v>
      </c>
      <c r="K335" s="2">
        <v>560.65200000000004</v>
      </c>
      <c r="L335" s="2">
        <v>400</v>
      </c>
      <c r="M335" s="2">
        <v>400</v>
      </c>
      <c r="N335" s="1" t="s">
        <v>45</v>
      </c>
      <c r="O335" s="2">
        <v>1.4016299999999999</v>
      </c>
      <c r="P335" s="3">
        <f t="shared" si="10"/>
        <v>400</v>
      </c>
      <c r="Q335" s="3" t="str">
        <f t="shared" si="11"/>
        <v>39225B0105400</v>
      </c>
      <c r="R335" t="s">
        <v>74</v>
      </c>
      <c r="S335" t="s">
        <v>60</v>
      </c>
      <c r="T335" t="s">
        <v>102</v>
      </c>
      <c r="AB335" t="s">
        <v>440</v>
      </c>
    </row>
    <row r="336" spans="1:28" hidden="1">
      <c r="A336" t="s">
        <v>29</v>
      </c>
      <c r="B336" s="1" t="s">
        <v>439</v>
      </c>
      <c r="C336" s="1" t="s">
        <v>69</v>
      </c>
      <c r="D336" s="1" t="s">
        <v>896</v>
      </c>
      <c r="E336" s="1" t="s">
        <v>608</v>
      </c>
      <c r="F336" s="1" t="s">
        <v>609</v>
      </c>
      <c r="G336" s="1" t="s">
        <v>897</v>
      </c>
      <c r="H336" s="1" t="s">
        <v>895</v>
      </c>
      <c r="I336" s="1">
        <v>33</v>
      </c>
      <c r="J336" s="2">
        <v>654.66999999999996</v>
      </c>
      <c r="K336" s="2">
        <v>654.66638599999999</v>
      </c>
      <c r="L336" s="2">
        <v>469.48</v>
      </c>
      <c r="M336" s="2">
        <v>469.48</v>
      </c>
      <c r="N336" s="1" t="s">
        <v>45</v>
      </c>
      <c r="O336" s="2">
        <v>1.39445</v>
      </c>
      <c r="P336" s="3">
        <f t="shared" si="10"/>
        <v>469.48</v>
      </c>
      <c r="Q336" s="3" t="str">
        <f t="shared" si="11"/>
        <v>17896616469.48</v>
      </c>
      <c r="R336" t="s">
        <v>74</v>
      </c>
      <c r="AB336" t="s">
        <v>440</v>
      </c>
    </row>
    <row r="337" spans="1:28" hidden="1">
      <c r="A337" t="s">
        <v>29</v>
      </c>
      <c r="B337" s="1" t="s">
        <v>439</v>
      </c>
      <c r="C337" s="1" t="s">
        <v>69</v>
      </c>
      <c r="D337" s="1" t="s">
        <v>898</v>
      </c>
      <c r="E337" s="1" t="s">
        <v>616</v>
      </c>
      <c r="F337" s="1" t="s">
        <v>222</v>
      </c>
      <c r="G337" s="1" t="s">
        <v>617</v>
      </c>
      <c r="H337" s="1" t="s">
        <v>895</v>
      </c>
      <c r="I337" s="1">
        <v>33</v>
      </c>
      <c r="J337" s="2">
        <v>2170.1</v>
      </c>
      <c r="K337" s="2">
        <v>2170.1</v>
      </c>
      <c r="L337" s="2">
        <v>2170.1</v>
      </c>
      <c r="M337" s="2">
        <v>2170.1</v>
      </c>
      <c r="N337" s="1" t="s">
        <v>36</v>
      </c>
      <c r="O337" s="2">
        <v>1</v>
      </c>
      <c r="P337" s="3">
        <f t="shared" si="10"/>
        <v>1627.5749999999998</v>
      </c>
      <c r="Q337" s="3" t="str">
        <f t="shared" si="11"/>
        <v>FGL00046572170.1</v>
      </c>
      <c r="R337" t="s">
        <v>758</v>
      </c>
      <c r="S337" t="s">
        <v>60</v>
      </c>
      <c r="AB337" t="s">
        <v>440</v>
      </c>
    </row>
    <row r="338" spans="1:28" hidden="1">
      <c r="A338" t="s">
        <v>29</v>
      </c>
      <c r="B338" s="1" t="s">
        <v>439</v>
      </c>
      <c r="C338" s="1" t="s">
        <v>69</v>
      </c>
      <c r="D338" s="1" t="s">
        <v>899</v>
      </c>
      <c r="E338" s="1" t="s">
        <v>71</v>
      </c>
      <c r="F338" s="1" t="s">
        <v>72</v>
      </c>
      <c r="G338" s="1" t="s">
        <v>614</v>
      </c>
      <c r="H338" s="1" t="s">
        <v>895</v>
      </c>
      <c r="I338" s="1">
        <v>33</v>
      </c>
      <c r="J338" s="2">
        <v>1478894.45</v>
      </c>
      <c r="K338" s="2">
        <v>1478894.4457664799</v>
      </c>
      <c r="L338" s="2">
        <v>1048558.64</v>
      </c>
      <c r="M338" s="2">
        <v>1048558.64</v>
      </c>
      <c r="N338" s="1" t="s">
        <v>45</v>
      </c>
      <c r="O338" s="2">
        <v>1.410407</v>
      </c>
      <c r="P338" s="3">
        <f t="shared" si="10"/>
        <v>1048558.64</v>
      </c>
      <c r="Q338" s="3" t="str">
        <f t="shared" si="11"/>
        <v>919091621048558.64</v>
      </c>
      <c r="R338" t="s">
        <v>74</v>
      </c>
      <c r="S338" t="s">
        <v>60</v>
      </c>
      <c r="T338" t="s">
        <v>102</v>
      </c>
      <c r="AB338" t="s">
        <v>440</v>
      </c>
    </row>
    <row r="339" spans="1:28" hidden="1">
      <c r="A339" t="s">
        <v>29</v>
      </c>
      <c r="B339" s="1" t="s">
        <v>439</v>
      </c>
      <c r="C339" s="1" t="s">
        <v>69</v>
      </c>
      <c r="D339" s="1" t="s">
        <v>900</v>
      </c>
      <c r="E339" s="1" t="s">
        <v>71</v>
      </c>
      <c r="F339" s="1" t="s">
        <v>72</v>
      </c>
      <c r="G339" s="1" t="s">
        <v>614</v>
      </c>
      <c r="H339" s="1" t="s">
        <v>895</v>
      </c>
      <c r="I339" s="1">
        <v>33</v>
      </c>
      <c r="J339" s="2">
        <v>776962.74</v>
      </c>
      <c r="K339" s="2">
        <v>776962.73740473005</v>
      </c>
      <c r="L339" s="2">
        <v>550878.39</v>
      </c>
      <c r="M339" s="2">
        <v>550878.39</v>
      </c>
      <c r="N339" s="1" t="s">
        <v>45</v>
      </c>
      <c r="O339" s="2">
        <v>1.410407</v>
      </c>
      <c r="P339" s="3">
        <f t="shared" si="10"/>
        <v>550878.39</v>
      </c>
      <c r="Q339" s="3" t="str">
        <f t="shared" si="11"/>
        <v>91909163550878.39</v>
      </c>
      <c r="R339" t="s">
        <v>74</v>
      </c>
      <c r="S339" t="s">
        <v>60</v>
      </c>
      <c r="T339" t="s">
        <v>102</v>
      </c>
      <c r="AB339" t="s">
        <v>440</v>
      </c>
    </row>
    <row r="340" spans="1:28" hidden="1">
      <c r="A340" t="s">
        <v>29</v>
      </c>
      <c r="B340" s="1" t="s">
        <v>439</v>
      </c>
      <c r="C340" s="1" t="s">
        <v>69</v>
      </c>
      <c r="D340" s="1" t="s">
        <v>901</v>
      </c>
      <c r="E340" s="1" t="s">
        <v>71</v>
      </c>
      <c r="F340" s="1" t="s">
        <v>72</v>
      </c>
      <c r="G340" s="1" t="s">
        <v>902</v>
      </c>
      <c r="H340" s="1" t="s">
        <v>895</v>
      </c>
      <c r="I340" s="1">
        <v>33</v>
      </c>
      <c r="J340" s="2">
        <v>1508254.85</v>
      </c>
      <c r="K340" s="2">
        <v>1508254.84597327</v>
      </c>
      <c r="L340" s="2">
        <v>1069375.6100000001</v>
      </c>
      <c r="M340" s="2">
        <v>1069375.6100000001</v>
      </c>
      <c r="N340" s="1" t="s">
        <v>45</v>
      </c>
      <c r="O340" s="2">
        <v>1.410407</v>
      </c>
      <c r="P340" s="3">
        <f t="shared" si="10"/>
        <v>1069375.6100000001</v>
      </c>
      <c r="Q340" s="3" t="str">
        <f t="shared" si="11"/>
        <v>919091641069375.61</v>
      </c>
      <c r="R340" t="s">
        <v>74</v>
      </c>
      <c r="S340" t="s">
        <v>60</v>
      </c>
      <c r="T340" t="s">
        <v>102</v>
      </c>
      <c r="AB340" t="s">
        <v>440</v>
      </c>
    </row>
    <row r="341" spans="1:28" hidden="1">
      <c r="A341" t="s">
        <v>29</v>
      </c>
      <c r="B341" s="1" t="s">
        <v>439</v>
      </c>
      <c r="C341" s="1" t="s">
        <v>69</v>
      </c>
      <c r="D341" s="1" t="s">
        <v>903</v>
      </c>
      <c r="E341" s="1" t="s">
        <v>334</v>
      </c>
      <c r="F341" s="1" t="s">
        <v>335</v>
      </c>
      <c r="G341" s="1" t="s">
        <v>655</v>
      </c>
      <c r="H341" s="1" t="s">
        <v>895</v>
      </c>
      <c r="I341" s="1">
        <v>33</v>
      </c>
      <c r="J341" s="2">
        <v>1211.01</v>
      </c>
      <c r="K341" s="2">
        <v>1211.0083199999999</v>
      </c>
      <c r="L341" s="2">
        <v>864</v>
      </c>
      <c r="M341" s="2">
        <v>864</v>
      </c>
      <c r="N341" s="1" t="s">
        <v>45</v>
      </c>
      <c r="O341" s="2">
        <v>1.4016299999999999</v>
      </c>
      <c r="P341" s="3">
        <f t="shared" si="10"/>
        <v>864</v>
      </c>
      <c r="Q341" s="3" t="str">
        <f t="shared" si="11"/>
        <v>1909710180864</v>
      </c>
      <c r="R341" t="s">
        <v>91</v>
      </c>
      <c r="S341" t="s">
        <v>60</v>
      </c>
      <c r="T341" t="s">
        <v>102</v>
      </c>
      <c r="AB341" t="s">
        <v>440</v>
      </c>
    </row>
    <row r="342" spans="1:28" hidden="1">
      <c r="A342" t="s">
        <v>29</v>
      </c>
      <c r="B342" s="1" t="s">
        <v>439</v>
      </c>
      <c r="C342" s="1" t="s">
        <v>69</v>
      </c>
      <c r="D342" s="1" t="s">
        <v>904</v>
      </c>
      <c r="E342" s="1" t="s">
        <v>580</v>
      </c>
      <c r="F342" s="1" t="s">
        <v>581</v>
      </c>
      <c r="G342" s="1" t="s">
        <v>905</v>
      </c>
      <c r="H342" s="1" t="s">
        <v>895</v>
      </c>
      <c r="I342" s="1">
        <v>33</v>
      </c>
      <c r="J342" s="2">
        <v>3468.24</v>
      </c>
      <c r="K342" s="2">
        <v>3468.2353208999998</v>
      </c>
      <c r="L342" s="2">
        <v>2474.4299999999998</v>
      </c>
      <c r="M342" s="2">
        <v>2474.4299999999998</v>
      </c>
      <c r="N342" s="1" t="s">
        <v>45</v>
      </c>
      <c r="O342" s="2">
        <v>1.4016299999999999</v>
      </c>
      <c r="P342" s="3">
        <f t="shared" si="10"/>
        <v>2474.4299999999998</v>
      </c>
      <c r="Q342" s="3" t="str">
        <f t="shared" si="11"/>
        <v>1310322474.43</v>
      </c>
      <c r="R342" t="s">
        <v>74</v>
      </c>
      <c r="S342" t="s">
        <v>60</v>
      </c>
      <c r="T342" t="s">
        <v>102</v>
      </c>
      <c r="AB342" t="s">
        <v>440</v>
      </c>
    </row>
    <row r="343" spans="1:28" hidden="1">
      <c r="A343" t="s">
        <v>29</v>
      </c>
      <c r="B343" s="1" t="s">
        <v>439</v>
      </c>
      <c r="C343" s="1" t="s">
        <v>69</v>
      </c>
      <c r="D343" s="1" t="s">
        <v>906</v>
      </c>
      <c r="E343" s="1" t="s">
        <v>334</v>
      </c>
      <c r="F343" s="1" t="s">
        <v>335</v>
      </c>
      <c r="G343" s="1" t="s">
        <v>748</v>
      </c>
      <c r="H343" s="1" t="s">
        <v>895</v>
      </c>
      <c r="I343" s="1">
        <v>33</v>
      </c>
      <c r="J343" s="2">
        <v>3367.95</v>
      </c>
      <c r="K343" s="2">
        <v>3367.9486944</v>
      </c>
      <c r="L343" s="2">
        <v>2402.88</v>
      </c>
      <c r="M343" s="2">
        <v>2402.88</v>
      </c>
      <c r="N343" s="1" t="s">
        <v>45</v>
      </c>
      <c r="O343" s="2">
        <v>1.4016299999999999</v>
      </c>
      <c r="P343" s="3">
        <f t="shared" si="10"/>
        <v>2402.88</v>
      </c>
      <c r="Q343" s="3" t="str">
        <f t="shared" si="11"/>
        <v>29084222342402.88</v>
      </c>
      <c r="R343" t="s">
        <v>91</v>
      </c>
      <c r="S343" t="s">
        <v>60</v>
      </c>
      <c r="T343" t="s">
        <v>102</v>
      </c>
      <c r="AB343" t="s">
        <v>440</v>
      </c>
    </row>
    <row r="344" spans="1:28" hidden="1">
      <c r="A344" t="s">
        <v>29</v>
      </c>
      <c r="B344" s="1" t="s">
        <v>439</v>
      </c>
      <c r="C344" s="1" t="s">
        <v>69</v>
      </c>
      <c r="D344" s="1" t="s">
        <v>907</v>
      </c>
      <c r="E344" s="1" t="s">
        <v>334</v>
      </c>
      <c r="F344" s="1" t="s">
        <v>335</v>
      </c>
      <c r="G344" s="1" t="s">
        <v>643</v>
      </c>
      <c r="H344" s="1" t="s">
        <v>895</v>
      </c>
      <c r="I344" s="1">
        <v>33</v>
      </c>
      <c r="J344" s="2">
        <v>4419.34</v>
      </c>
      <c r="K344" s="2">
        <v>4419.3393900000001</v>
      </c>
      <c r="L344" s="2">
        <v>3153</v>
      </c>
      <c r="M344" s="2">
        <v>3153</v>
      </c>
      <c r="N344" s="1" t="s">
        <v>45</v>
      </c>
      <c r="O344" s="2">
        <v>1.4016299999999999</v>
      </c>
      <c r="P344" s="3">
        <f t="shared" si="10"/>
        <v>3153</v>
      </c>
      <c r="Q344" s="3" t="str">
        <f t="shared" si="11"/>
        <v>29084224813153</v>
      </c>
      <c r="R344" t="s">
        <v>91</v>
      </c>
      <c r="S344" t="s">
        <v>60</v>
      </c>
      <c r="T344" t="s">
        <v>102</v>
      </c>
      <c r="AB344" t="s">
        <v>440</v>
      </c>
    </row>
    <row r="345" spans="1:28" hidden="1">
      <c r="A345" t="s">
        <v>29</v>
      </c>
      <c r="B345" s="1" t="s">
        <v>439</v>
      </c>
      <c r="C345" s="1" t="s">
        <v>69</v>
      </c>
      <c r="D345" s="1" t="s">
        <v>908</v>
      </c>
      <c r="E345" s="1" t="s">
        <v>334</v>
      </c>
      <c r="F345" s="1" t="s">
        <v>335</v>
      </c>
      <c r="G345" s="1" t="s">
        <v>877</v>
      </c>
      <c r="H345" s="1" t="s">
        <v>895</v>
      </c>
      <c r="I345" s="1">
        <v>33</v>
      </c>
      <c r="J345" s="2">
        <v>1423.87</v>
      </c>
      <c r="K345" s="2">
        <v>1423.8738681</v>
      </c>
      <c r="L345" s="2">
        <v>1015.87</v>
      </c>
      <c r="M345" s="2">
        <v>1015.87</v>
      </c>
      <c r="N345" s="1" t="s">
        <v>45</v>
      </c>
      <c r="O345" s="2">
        <v>1.4016299999999999</v>
      </c>
      <c r="P345" s="3">
        <f t="shared" si="10"/>
        <v>1015.87</v>
      </c>
      <c r="Q345" s="3" t="str">
        <f t="shared" si="11"/>
        <v>29084224821015.87</v>
      </c>
      <c r="R345" t="s">
        <v>91</v>
      </c>
      <c r="S345" t="s">
        <v>60</v>
      </c>
      <c r="T345" t="s">
        <v>102</v>
      </c>
      <c r="AB345" t="s">
        <v>440</v>
      </c>
    </row>
    <row r="346" spans="1:28" hidden="1">
      <c r="A346" t="s">
        <v>29</v>
      </c>
      <c r="B346" s="1" t="s">
        <v>439</v>
      </c>
      <c r="C346" s="1" t="s">
        <v>69</v>
      </c>
      <c r="D346" s="1" t="s">
        <v>909</v>
      </c>
      <c r="E346" s="1" t="s">
        <v>334</v>
      </c>
      <c r="F346" s="1" t="s">
        <v>335</v>
      </c>
      <c r="G346" s="1" t="s">
        <v>533</v>
      </c>
      <c r="H346" s="1" t="s">
        <v>895</v>
      </c>
      <c r="I346" s="1">
        <v>33</v>
      </c>
      <c r="J346" s="2">
        <v>5846.09</v>
      </c>
      <c r="K346" s="2">
        <v>5846.0865996000002</v>
      </c>
      <c r="L346" s="2">
        <v>4170.92</v>
      </c>
      <c r="M346" s="2">
        <v>4170.92</v>
      </c>
      <c r="N346" s="1" t="s">
        <v>45</v>
      </c>
      <c r="O346" s="2">
        <v>1.4016299999999999</v>
      </c>
      <c r="P346" s="3">
        <f t="shared" si="10"/>
        <v>4170.92</v>
      </c>
      <c r="Q346" s="3" t="str">
        <f t="shared" si="11"/>
        <v>29084230204170.92</v>
      </c>
      <c r="R346" t="s">
        <v>91</v>
      </c>
      <c r="S346" t="s">
        <v>60</v>
      </c>
      <c r="T346" t="s">
        <v>102</v>
      </c>
      <c r="AB346" t="s">
        <v>440</v>
      </c>
    </row>
    <row r="347" spans="1:28" hidden="1">
      <c r="A347" t="s">
        <v>29</v>
      </c>
      <c r="B347" s="1" t="s">
        <v>439</v>
      </c>
      <c r="C347" s="1" t="s">
        <v>69</v>
      </c>
      <c r="D347" s="1" t="s">
        <v>910</v>
      </c>
      <c r="E347" s="1" t="s">
        <v>239</v>
      </c>
      <c r="F347" s="1" t="s">
        <v>240</v>
      </c>
      <c r="G347" s="1" t="s">
        <v>911</v>
      </c>
      <c r="H347" s="1" t="s">
        <v>895</v>
      </c>
      <c r="I347" s="1">
        <v>33</v>
      </c>
      <c r="J347" s="2">
        <v>190475.76</v>
      </c>
      <c r="K347" s="2">
        <v>190475.75630070001</v>
      </c>
      <c r="L347" s="2">
        <v>135895.89000000001</v>
      </c>
      <c r="M347" s="2">
        <v>135895.89000000001</v>
      </c>
      <c r="N347" s="1" t="s">
        <v>45</v>
      </c>
      <c r="O347" s="2">
        <v>1.4016299999999999</v>
      </c>
      <c r="P347" s="3">
        <f t="shared" si="10"/>
        <v>135895.89000000001</v>
      </c>
      <c r="Q347" s="3" t="str">
        <f t="shared" si="11"/>
        <v>9116812975135895.89</v>
      </c>
      <c r="R347" t="s">
        <v>59</v>
      </c>
      <c r="S347" t="s">
        <v>60</v>
      </c>
      <c r="T347" t="s">
        <v>102</v>
      </c>
      <c r="AB347" t="s">
        <v>440</v>
      </c>
    </row>
    <row r="348" spans="1:28" hidden="1">
      <c r="A348" t="s">
        <v>29</v>
      </c>
      <c r="B348" s="1" t="s">
        <v>578</v>
      </c>
      <c r="C348" s="1" t="s">
        <v>69</v>
      </c>
      <c r="D348" s="1" t="s">
        <v>912</v>
      </c>
      <c r="E348" s="1" t="s">
        <v>156</v>
      </c>
      <c r="F348" s="1" t="s">
        <v>156</v>
      </c>
      <c r="G348" s="1" t="s">
        <v>713</v>
      </c>
      <c r="H348" s="1" t="s">
        <v>895</v>
      </c>
      <c r="I348" s="1">
        <v>33</v>
      </c>
      <c r="J348" s="2">
        <v>591.41999999999996</v>
      </c>
      <c r="K348" s="2">
        <v>591.41999999999996</v>
      </c>
      <c r="L348" s="2">
        <v>591.41999999999996</v>
      </c>
      <c r="M348" s="2">
        <v>591.41999999999996</v>
      </c>
      <c r="N348" s="1" t="s">
        <v>36</v>
      </c>
      <c r="O348" s="2">
        <v>1</v>
      </c>
      <c r="P348" s="3">
        <f t="shared" si="10"/>
        <v>443.56499999999994</v>
      </c>
      <c r="Q348" s="3" t="str">
        <f t="shared" si="11"/>
        <v>2-700-24261591.42</v>
      </c>
      <c r="R348" t="s">
        <v>758</v>
      </c>
      <c r="S348" t="s">
        <v>60</v>
      </c>
      <c r="AB348" t="s">
        <v>440</v>
      </c>
    </row>
    <row r="349" spans="1:28" hidden="1">
      <c r="A349" t="s">
        <v>29</v>
      </c>
      <c r="B349" s="1" t="s">
        <v>687</v>
      </c>
      <c r="C349" s="1" t="s">
        <v>69</v>
      </c>
      <c r="D349" s="1" t="s">
        <v>32</v>
      </c>
      <c r="E349" s="1" t="s">
        <v>913</v>
      </c>
      <c r="F349" s="1"/>
      <c r="G349" s="1" t="s">
        <v>914</v>
      </c>
      <c r="H349" s="1" t="s">
        <v>895</v>
      </c>
      <c r="I349" s="1">
        <v>33</v>
      </c>
      <c r="J349" s="2">
        <v>376793.25</v>
      </c>
      <c r="K349" s="2">
        <v>200867.1</v>
      </c>
      <c r="L349" s="2">
        <v>376793.25</v>
      </c>
      <c r="M349" s="2">
        <v>200867.1</v>
      </c>
      <c r="N349" s="1" t="s">
        <v>36</v>
      </c>
      <c r="O349" s="2">
        <v>1</v>
      </c>
      <c r="P349" s="3">
        <f t="shared" si="10"/>
        <v>150650.32500000001</v>
      </c>
      <c r="Q349" s="3" t="str">
        <f t="shared" si="11"/>
        <v>200867.1</v>
      </c>
    </row>
    <row r="350" spans="1:28" hidden="1">
      <c r="A350" t="s">
        <v>29</v>
      </c>
      <c r="B350" s="1" t="s">
        <v>915</v>
      </c>
      <c r="C350" s="1" t="s">
        <v>69</v>
      </c>
      <c r="D350" s="1" t="s">
        <v>916</v>
      </c>
      <c r="E350" s="1" t="s">
        <v>813</v>
      </c>
      <c r="F350" s="1" t="s">
        <v>814</v>
      </c>
      <c r="G350" s="1" t="s">
        <v>917</v>
      </c>
      <c r="H350" s="1" t="s">
        <v>918</v>
      </c>
      <c r="I350" s="1">
        <v>32</v>
      </c>
      <c r="J350" s="2">
        <v>16909.79</v>
      </c>
      <c r="K350" s="2">
        <v>16909.786969680001</v>
      </c>
      <c r="L350" s="2">
        <v>12146.64</v>
      </c>
      <c r="M350" s="2">
        <v>12146.64</v>
      </c>
      <c r="N350" s="1" t="s">
        <v>45</v>
      </c>
      <c r="O350" s="2">
        <v>1.392137</v>
      </c>
      <c r="P350" s="3">
        <f t="shared" si="10"/>
        <v>12146.64</v>
      </c>
      <c r="Q350" s="3" t="str">
        <f t="shared" si="11"/>
        <v>950002618912146.64</v>
      </c>
      <c r="R350" t="s">
        <v>74</v>
      </c>
      <c r="S350" t="s">
        <v>60</v>
      </c>
      <c r="T350" t="s">
        <v>102</v>
      </c>
      <c r="AB350" t="s">
        <v>445</v>
      </c>
    </row>
    <row r="351" spans="1:28" hidden="1">
      <c r="A351" t="s">
        <v>29</v>
      </c>
      <c r="B351" s="1" t="s">
        <v>444</v>
      </c>
      <c r="C351" s="1" t="s">
        <v>69</v>
      </c>
      <c r="D351" s="1" t="s">
        <v>919</v>
      </c>
      <c r="E351" s="1" t="s">
        <v>920</v>
      </c>
      <c r="F351" s="1" t="s">
        <v>921</v>
      </c>
      <c r="G351" s="1" t="s">
        <v>922</v>
      </c>
      <c r="H351" s="1" t="s">
        <v>918</v>
      </c>
      <c r="I351" s="1">
        <v>32</v>
      </c>
      <c r="J351" s="2">
        <v>112260.74</v>
      </c>
      <c r="K351" s="2">
        <v>112260.738864</v>
      </c>
      <c r="L351" s="2">
        <v>80148</v>
      </c>
      <c r="M351" s="2">
        <v>80148</v>
      </c>
      <c r="N351" s="1" t="s">
        <v>45</v>
      </c>
      <c r="O351" s="2">
        <v>1.400668</v>
      </c>
      <c r="P351" s="3">
        <f t="shared" si="10"/>
        <v>80148</v>
      </c>
      <c r="Q351" s="3" t="str">
        <f t="shared" si="11"/>
        <v>23810003165780148</v>
      </c>
      <c r="R351" t="s">
        <v>74</v>
      </c>
      <c r="S351" t="s">
        <v>60</v>
      </c>
      <c r="T351" t="s">
        <v>102</v>
      </c>
      <c r="AB351" t="s">
        <v>445</v>
      </c>
    </row>
    <row r="352" spans="1:28" hidden="1">
      <c r="A352" t="s">
        <v>29</v>
      </c>
      <c r="B352" s="1" t="s">
        <v>444</v>
      </c>
      <c r="C352" s="1" t="s">
        <v>69</v>
      </c>
      <c r="D352" s="1" t="s">
        <v>923</v>
      </c>
      <c r="E352" s="1" t="s">
        <v>405</v>
      </c>
      <c r="F352" s="1" t="s">
        <v>405</v>
      </c>
      <c r="G352" s="1" t="s">
        <v>924</v>
      </c>
      <c r="H352" s="1" t="s">
        <v>918</v>
      </c>
      <c r="I352" s="1">
        <v>32</v>
      </c>
      <c r="J352" s="2">
        <v>76.599999999999994</v>
      </c>
      <c r="K352" s="2">
        <v>76.599999999999994</v>
      </c>
      <c r="L352" s="2">
        <v>76.599999999999994</v>
      </c>
      <c r="M352" s="2">
        <v>76.599999999999994</v>
      </c>
      <c r="N352" s="1" t="s">
        <v>36</v>
      </c>
      <c r="O352" s="2">
        <v>1</v>
      </c>
      <c r="P352" s="3">
        <f t="shared" si="10"/>
        <v>57.449999999999996</v>
      </c>
      <c r="Q352" s="3" t="str">
        <f t="shared" si="11"/>
        <v>1712713776.6</v>
      </c>
      <c r="R352" t="s">
        <v>82</v>
      </c>
      <c r="AB352" t="s">
        <v>445</v>
      </c>
    </row>
    <row r="353" spans="1:28" hidden="1">
      <c r="A353" t="s">
        <v>29</v>
      </c>
      <c r="B353" s="1" t="s">
        <v>444</v>
      </c>
      <c r="C353" s="1" t="s">
        <v>69</v>
      </c>
      <c r="D353" s="1" t="s">
        <v>925</v>
      </c>
      <c r="E353" s="1" t="s">
        <v>218</v>
      </c>
      <c r="F353" s="1" t="s">
        <v>58</v>
      </c>
      <c r="G353" s="1" t="s">
        <v>926</v>
      </c>
      <c r="H353" s="1" t="s">
        <v>918</v>
      </c>
      <c r="I353" s="1">
        <v>32</v>
      </c>
      <c r="J353" s="2">
        <v>12960</v>
      </c>
      <c r="K353" s="2">
        <v>12960</v>
      </c>
      <c r="L353" s="2">
        <v>12960</v>
      </c>
      <c r="M353" s="2">
        <v>12960</v>
      </c>
      <c r="N353" s="1" t="s">
        <v>36</v>
      </c>
      <c r="O353" s="2">
        <v>1</v>
      </c>
      <c r="P353" s="3">
        <f t="shared" si="10"/>
        <v>9720</v>
      </c>
      <c r="Q353" s="3" t="str">
        <f t="shared" si="11"/>
        <v>IN06251113007012960</v>
      </c>
      <c r="R353" t="s">
        <v>37</v>
      </c>
      <c r="S353" t="s">
        <v>60</v>
      </c>
      <c r="T353" t="s">
        <v>102</v>
      </c>
      <c r="AB353" t="s">
        <v>445</v>
      </c>
    </row>
    <row r="354" spans="1:28" hidden="1">
      <c r="A354" t="s">
        <v>29</v>
      </c>
      <c r="B354" s="1" t="s">
        <v>444</v>
      </c>
      <c r="C354" s="1" t="s">
        <v>69</v>
      </c>
      <c r="D354" s="1" t="s">
        <v>927</v>
      </c>
      <c r="E354" s="1" t="s">
        <v>928</v>
      </c>
      <c r="F354" s="1" t="s">
        <v>929</v>
      </c>
      <c r="G354" s="1" t="s">
        <v>930</v>
      </c>
      <c r="H354" s="1" t="s">
        <v>918</v>
      </c>
      <c r="I354" s="1">
        <v>32</v>
      </c>
      <c r="J354" s="2">
        <v>3501.67</v>
      </c>
      <c r="K354" s="2">
        <v>3501.67</v>
      </c>
      <c r="L354" s="2">
        <v>2500</v>
      </c>
      <c r="M354" s="2">
        <v>2500</v>
      </c>
      <c r="N354" s="1" t="s">
        <v>45</v>
      </c>
      <c r="O354" s="2">
        <v>1.400668</v>
      </c>
      <c r="P354" s="3">
        <f t="shared" si="10"/>
        <v>2500</v>
      </c>
      <c r="Q354" s="3" t="str">
        <f t="shared" si="11"/>
        <v>53882500</v>
      </c>
      <c r="R354" t="s">
        <v>214</v>
      </c>
      <c r="S354" t="s">
        <v>233</v>
      </c>
      <c r="T354" t="s">
        <v>102</v>
      </c>
      <c r="AB354" t="s">
        <v>445</v>
      </c>
    </row>
    <row r="355" spans="1:28" hidden="1">
      <c r="A355" t="s">
        <v>29</v>
      </c>
      <c r="B355" s="1" t="s">
        <v>444</v>
      </c>
      <c r="C355" s="1" t="s">
        <v>69</v>
      </c>
      <c r="D355" s="1" t="s">
        <v>931</v>
      </c>
      <c r="E355" s="1" t="s">
        <v>928</v>
      </c>
      <c r="F355" s="1" t="s">
        <v>929</v>
      </c>
      <c r="G355" s="1" t="s">
        <v>932</v>
      </c>
      <c r="H355" s="1" t="s">
        <v>918</v>
      </c>
      <c r="I355" s="1">
        <v>32</v>
      </c>
      <c r="J355" s="2">
        <v>3361.6</v>
      </c>
      <c r="K355" s="2">
        <v>3361.6032</v>
      </c>
      <c r="L355" s="2">
        <v>2400</v>
      </c>
      <c r="M355" s="2">
        <v>2400</v>
      </c>
      <c r="N355" s="1" t="s">
        <v>45</v>
      </c>
      <c r="O355" s="2">
        <v>1.400668</v>
      </c>
      <c r="P355" s="3">
        <f t="shared" si="10"/>
        <v>2400</v>
      </c>
      <c r="Q355" s="3" t="str">
        <f t="shared" si="11"/>
        <v>53892400</v>
      </c>
      <c r="R355" t="s">
        <v>214</v>
      </c>
      <c r="S355" t="s">
        <v>233</v>
      </c>
      <c r="T355" t="s">
        <v>102</v>
      </c>
      <c r="AB355" t="s">
        <v>445</v>
      </c>
    </row>
    <row r="356" spans="1:28" hidden="1">
      <c r="A356" t="s">
        <v>29</v>
      </c>
      <c r="B356" s="1" t="s">
        <v>444</v>
      </c>
      <c r="C356" s="1" t="s">
        <v>69</v>
      </c>
      <c r="D356" s="1" t="s">
        <v>933</v>
      </c>
      <c r="E356" s="1" t="s">
        <v>334</v>
      </c>
      <c r="F356" s="1" t="s">
        <v>335</v>
      </c>
      <c r="G356" s="1" t="s">
        <v>655</v>
      </c>
      <c r="H356" s="1" t="s">
        <v>918</v>
      </c>
      <c r="I356" s="1">
        <v>32</v>
      </c>
      <c r="J356" s="2">
        <v>27161.75</v>
      </c>
      <c r="K356" s="2">
        <v>27161.753855999999</v>
      </c>
      <c r="L356" s="2">
        <v>19392</v>
      </c>
      <c r="M356" s="2">
        <v>19392</v>
      </c>
      <c r="N356" s="1" t="s">
        <v>45</v>
      </c>
      <c r="O356" s="2">
        <v>1.400668</v>
      </c>
      <c r="P356" s="3">
        <f t="shared" si="10"/>
        <v>19392</v>
      </c>
      <c r="Q356" s="3" t="str">
        <f t="shared" si="11"/>
        <v>190971063219392</v>
      </c>
      <c r="R356" t="s">
        <v>91</v>
      </c>
      <c r="S356" t="s">
        <v>60</v>
      </c>
      <c r="T356" t="s">
        <v>102</v>
      </c>
      <c r="AB356" t="s">
        <v>445</v>
      </c>
    </row>
    <row r="357" spans="1:28" hidden="1">
      <c r="A357" t="s">
        <v>29</v>
      </c>
      <c r="B357" s="1" t="s">
        <v>444</v>
      </c>
      <c r="C357" s="1" t="s">
        <v>69</v>
      </c>
      <c r="D357" s="1" t="s">
        <v>934</v>
      </c>
      <c r="E357" s="1" t="s">
        <v>334</v>
      </c>
      <c r="F357" s="1" t="s">
        <v>335</v>
      </c>
      <c r="G357" s="1" t="s">
        <v>533</v>
      </c>
      <c r="H357" s="1" t="s">
        <v>918</v>
      </c>
      <c r="I357" s="1">
        <v>32</v>
      </c>
      <c r="J357" s="2">
        <v>184.17</v>
      </c>
      <c r="K357" s="2">
        <v>184.17383531999999</v>
      </c>
      <c r="L357" s="2">
        <v>131.49</v>
      </c>
      <c r="M357" s="2">
        <v>131.49</v>
      </c>
      <c r="N357" s="1" t="s">
        <v>45</v>
      </c>
      <c r="O357" s="2">
        <v>1.400668</v>
      </c>
      <c r="P357" s="3">
        <f t="shared" si="10"/>
        <v>131.49</v>
      </c>
      <c r="Q357" s="3" t="str">
        <f t="shared" si="11"/>
        <v>2908423726131.49</v>
      </c>
      <c r="R357" t="s">
        <v>91</v>
      </c>
      <c r="S357" t="s">
        <v>60</v>
      </c>
      <c r="T357" t="s">
        <v>102</v>
      </c>
      <c r="AB357" t="s">
        <v>445</v>
      </c>
    </row>
    <row r="358" spans="1:28" hidden="1">
      <c r="A358" t="s">
        <v>29</v>
      </c>
      <c r="B358" s="1" t="s">
        <v>444</v>
      </c>
      <c r="C358" s="1" t="s">
        <v>69</v>
      </c>
      <c r="D358" s="1" t="s">
        <v>935</v>
      </c>
      <c r="E358" s="1" t="s">
        <v>334</v>
      </c>
      <c r="F358" s="1" t="s">
        <v>335</v>
      </c>
      <c r="G358" s="1" t="s">
        <v>877</v>
      </c>
      <c r="H358" s="1" t="s">
        <v>918</v>
      </c>
      <c r="I358" s="1">
        <v>32</v>
      </c>
      <c r="J358" s="2">
        <v>455.67</v>
      </c>
      <c r="K358" s="2">
        <v>455.66531376</v>
      </c>
      <c r="L358" s="2">
        <v>325.32</v>
      </c>
      <c r="M358" s="2">
        <v>325.32</v>
      </c>
      <c r="N358" s="1" t="s">
        <v>45</v>
      </c>
      <c r="O358" s="2">
        <v>1.400668</v>
      </c>
      <c r="P358" s="3">
        <f t="shared" si="10"/>
        <v>325.32</v>
      </c>
      <c r="Q358" s="3" t="str">
        <f t="shared" si="11"/>
        <v>2908424756325.32</v>
      </c>
      <c r="R358" t="s">
        <v>91</v>
      </c>
      <c r="S358" t="s">
        <v>60</v>
      </c>
      <c r="T358" t="s">
        <v>102</v>
      </c>
      <c r="AB358" t="s">
        <v>445</v>
      </c>
    </row>
    <row r="359" spans="1:28" hidden="1">
      <c r="A359" t="s">
        <v>29</v>
      </c>
      <c r="B359" s="1" t="s">
        <v>444</v>
      </c>
      <c r="C359" s="1" t="s">
        <v>69</v>
      </c>
      <c r="D359" s="1" t="s">
        <v>936</v>
      </c>
      <c r="E359" s="1" t="s">
        <v>334</v>
      </c>
      <c r="F359" s="1" t="s">
        <v>335</v>
      </c>
      <c r="G359" s="1" t="s">
        <v>881</v>
      </c>
      <c r="H359" s="1" t="s">
        <v>918</v>
      </c>
      <c r="I359" s="1">
        <v>32</v>
      </c>
      <c r="J359" s="2">
        <v>3443.54</v>
      </c>
      <c r="K359" s="2">
        <v>3443.5422779999999</v>
      </c>
      <c r="L359" s="2">
        <v>2458.5</v>
      </c>
      <c r="M359" s="2">
        <v>2458.5</v>
      </c>
      <c r="N359" s="1" t="s">
        <v>45</v>
      </c>
      <c r="O359" s="2">
        <v>1.400668</v>
      </c>
      <c r="P359" s="3">
        <f t="shared" si="10"/>
        <v>2458.5</v>
      </c>
      <c r="Q359" s="3" t="str">
        <f t="shared" si="11"/>
        <v>29084252572458.5</v>
      </c>
      <c r="R359" t="s">
        <v>91</v>
      </c>
      <c r="S359" t="s">
        <v>60</v>
      </c>
      <c r="T359" t="s">
        <v>102</v>
      </c>
      <c r="AB359" t="s">
        <v>445</v>
      </c>
    </row>
    <row r="360" spans="1:28" hidden="1">
      <c r="A360" t="s">
        <v>29</v>
      </c>
      <c r="B360" s="1" t="s">
        <v>444</v>
      </c>
      <c r="C360" s="1" t="s">
        <v>69</v>
      </c>
      <c r="D360" s="1" t="s">
        <v>937</v>
      </c>
      <c r="E360" s="1" t="s">
        <v>938</v>
      </c>
      <c r="F360" s="1" t="s">
        <v>939</v>
      </c>
      <c r="G360" s="1" t="s">
        <v>940</v>
      </c>
      <c r="H360" s="1" t="s">
        <v>918</v>
      </c>
      <c r="I360" s="1">
        <v>32</v>
      </c>
      <c r="J360" s="2">
        <v>268928.26</v>
      </c>
      <c r="K360" s="2">
        <v>268928.25599999999</v>
      </c>
      <c r="L360" s="2">
        <v>192000</v>
      </c>
      <c r="M360" s="2">
        <v>192000</v>
      </c>
      <c r="N360" s="1" t="s">
        <v>45</v>
      </c>
      <c r="O360" s="2">
        <v>1.400668</v>
      </c>
      <c r="P360" s="3">
        <f t="shared" si="10"/>
        <v>192000</v>
      </c>
      <c r="Q360" s="3" t="str">
        <f t="shared" si="11"/>
        <v>9456664660192000</v>
      </c>
      <c r="R360" t="s">
        <v>59</v>
      </c>
      <c r="S360" t="s">
        <v>155</v>
      </c>
      <c r="T360" t="s">
        <v>102</v>
      </c>
      <c r="AB360" t="s">
        <v>445</v>
      </c>
    </row>
    <row r="361" spans="1:28" hidden="1">
      <c r="A361" t="s">
        <v>29</v>
      </c>
      <c r="B361" s="1" t="s">
        <v>596</v>
      </c>
      <c r="C361" s="1" t="s">
        <v>69</v>
      </c>
      <c r="D361" s="1" t="s">
        <v>941</v>
      </c>
      <c r="E361" s="1" t="s">
        <v>156</v>
      </c>
      <c r="F361" s="1" t="s">
        <v>156</v>
      </c>
      <c r="G361" s="1" t="s">
        <v>713</v>
      </c>
      <c r="H361" s="1" t="s">
        <v>918</v>
      </c>
      <c r="I361" s="1">
        <v>32</v>
      </c>
      <c r="J361" s="2">
        <v>790.25</v>
      </c>
      <c r="K361" s="2">
        <v>790.25</v>
      </c>
      <c r="L361" s="2">
        <v>790.25</v>
      </c>
      <c r="M361" s="2">
        <v>790.25</v>
      </c>
      <c r="N361" s="1" t="s">
        <v>36</v>
      </c>
      <c r="O361" s="2">
        <v>1</v>
      </c>
      <c r="P361" s="3">
        <f t="shared" si="10"/>
        <v>592.6875</v>
      </c>
      <c r="Q361" s="3" t="str">
        <f t="shared" si="11"/>
        <v>2-700-43362790.25</v>
      </c>
      <c r="R361" t="s">
        <v>758</v>
      </c>
      <c r="S361" t="s">
        <v>60</v>
      </c>
      <c r="AB361" t="s">
        <v>445</v>
      </c>
    </row>
    <row r="362" spans="1:28" hidden="1">
      <c r="A362" t="s">
        <v>29</v>
      </c>
      <c r="B362" s="1" t="s">
        <v>451</v>
      </c>
      <c r="C362" s="1" t="s">
        <v>69</v>
      </c>
      <c r="D362" s="1" t="s">
        <v>942</v>
      </c>
      <c r="E362" s="1" t="s">
        <v>71</v>
      </c>
      <c r="F362" s="1" t="s">
        <v>72</v>
      </c>
      <c r="G362" s="1" t="s">
        <v>943</v>
      </c>
      <c r="H362" s="1" t="s">
        <v>944</v>
      </c>
      <c r="I362" s="1">
        <v>31</v>
      </c>
      <c r="J362" s="2">
        <v>996250.17</v>
      </c>
      <c r="K362" s="2">
        <v>996250.17254339997</v>
      </c>
      <c r="L362" s="2">
        <v>710475.58</v>
      </c>
      <c r="M362" s="2">
        <v>710475.58</v>
      </c>
      <c r="N362" s="1" t="s">
        <v>45</v>
      </c>
      <c r="O362" s="2">
        <v>1.4022300000000001</v>
      </c>
      <c r="P362" s="3">
        <f t="shared" si="10"/>
        <v>710475.58</v>
      </c>
      <c r="Q362" s="3" t="str">
        <f t="shared" si="11"/>
        <v>91909169710475.58</v>
      </c>
      <c r="R362" t="s">
        <v>74</v>
      </c>
      <c r="S362" t="s">
        <v>60</v>
      </c>
      <c r="T362" t="s">
        <v>102</v>
      </c>
    </row>
    <row r="363" spans="1:28" hidden="1">
      <c r="A363" t="s">
        <v>29</v>
      </c>
      <c r="B363" s="1" t="s">
        <v>451</v>
      </c>
      <c r="C363" s="1" t="s">
        <v>69</v>
      </c>
      <c r="D363" s="1" t="s">
        <v>945</v>
      </c>
      <c r="E363" s="1" t="s">
        <v>946</v>
      </c>
      <c r="F363" s="1" t="s">
        <v>947</v>
      </c>
      <c r="G363" s="1" t="s">
        <v>948</v>
      </c>
      <c r="H363" s="1" t="s">
        <v>944</v>
      </c>
      <c r="I363" s="1">
        <v>31</v>
      </c>
      <c r="J363" s="2">
        <v>83643.02</v>
      </c>
      <c r="K363" s="2">
        <v>83643.019499999995</v>
      </c>
      <c r="L363" s="2">
        <v>59650</v>
      </c>
      <c r="M363" s="2">
        <v>59650</v>
      </c>
      <c r="N363" s="1" t="s">
        <v>45</v>
      </c>
      <c r="O363" s="2">
        <v>1.4022300000000001</v>
      </c>
      <c r="P363" s="3">
        <f t="shared" si="10"/>
        <v>59650</v>
      </c>
      <c r="Q363" s="3" t="str">
        <f t="shared" si="11"/>
        <v>AR251112359650</v>
      </c>
      <c r="R363" t="s">
        <v>74</v>
      </c>
      <c r="S363" t="s">
        <v>60</v>
      </c>
      <c r="T363" t="s">
        <v>102</v>
      </c>
    </row>
    <row r="364" spans="1:28" hidden="1">
      <c r="A364" t="s">
        <v>29</v>
      </c>
      <c r="B364" s="1" t="s">
        <v>451</v>
      </c>
      <c r="C364" s="1" t="s">
        <v>69</v>
      </c>
      <c r="D364" s="1" t="s">
        <v>949</v>
      </c>
      <c r="E364" s="1" t="s">
        <v>584</v>
      </c>
      <c r="F364" s="1" t="s">
        <v>585</v>
      </c>
      <c r="G364" s="1" t="s">
        <v>752</v>
      </c>
      <c r="H364" s="1" t="s">
        <v>944</v>
      </c>
      <c r="I364" s="1">
        <v>31</v>
      </c>
      <c r="J364" s="2">
        <v>188.15</v>
      </c>
      <c r="K364" s="2">
        <v>188.15</v>
      </c>
      <c r="L364" s="2">
        <v>188.15</v>
      </c>
      <c r="M364" s="2">
        <v>188.15</v>
      </c>
      <c r="N364" s="1" t="s">
        <v>36</v>
      </c>
      <c r="O364" s="2">
        <v>1</v>
      </c>
      <c r="P364" s="3">
        <f t="shared" si="10"/>
        <v>141.11250000000001</v>
      </c>
      <c r="Q364" s="3" t="str">
        <f t="shared" si="11"/>
        <v>7717655188.15</v>
      </c>
      <c r="R364" t="s">
        <v>758</v>
      </c>
      <c r="S364" t="s">
        <v>60</v>
      </c>
    </row>
    <row r="365" spans="1:28" hidden="1">
      <c r="A365" t="s">
        <v>29</v>
      </c>
      <c r="B365" s="1" t="s">
        <v>451</v>
      </c>
      <c r="C365" s="1" t="s">
        <v>69</v>
      </c>
      <c r="D365" s="1" t="s">
        <v>950</v>
      </c>
      <c r="E365" s="1" t="s">
        <v>584</v>
      </c>
      <c r="F365" s="1" t="s">
        <v>585</v>
      </c>
      <c r="G365" s="1" t="s">
        <v>752</v>
      </c>
      <c r="H365" s="1" t="s">
        <v>944</v>
      </c>
      <c r="I365" s="1">
        <v>31</v>
      </c>
      <c r="J365" s="2">
        <v>189.9</v>
      </c>
      <c r="K365" s="2">
        <v>189.9</v>
      </c>
      <c r="L365" s="2">
        <v>189.9</v>
      </c>
      <c r="M365" s="2">
        <v>189.9</v>
      </c>
      <c r="N365" s="1" t="s">
        <v>36</v>
      </c>
      <c r="O365" s="2">
        <v>1</v>
      </c>
      <c r="P365" s="3">
        <f t="shared" si="10"/>
        <v>142.42500000000001</v>
      </c>
      <c r="Q365" s="3" t="str">
        <f t="shared" si="11"/>
        <v>7717801189.9</v>
      </c>
      <c r="R365" t="s">
        <v>758</v>
      </c>
      <c r="S365" t="s">
        <v>60</v>
      </c>
    </row>
    <row r="366" spans="1:28" hidden="1">
      <c r="A366" t="s">
        <v>29</v>
      </c>
      <c r="B366" s="1" t="s">
        <v>451</v>
      </c>
      <c r="C366" s="1" t="s">
        <v>69</v>
      </c>
      <c r="D366" s="1" t="s">
        <v>951</v>
      </c>
      <c r="E366" s="1" t="s">
        <v>334</v>
      </c>
      <c r="F366" s="1" t="s">
        <v>335</v>
      </c>
      <c r="G366" s="1" t="s">
        <v>952</v>
      </c>
      <c r="H366" s="1" t="s">
        <v>944</v>
      </c>
      <c r="I366" s="1">
        <v>31</v>
      </c>
      <c r="J366" s="2">
        <v>7073.97</v>
      </c>
      <c r="K366" s="2">
        <v>7073.9699039999996</v>
      </c>
      <c r="L366" s="2">
        <v>5044.8</v>
      </c>
      <c r="M366" s="2">
        <v>5044.8</v>
      </c>
      <c r="N366" s="1" t="s">
        <v>45</v>
      </c>
      <c r="O366" s="2">
        <v>1.4022300000000001</v>
      </c>
      <c r="P366" s="3">
        <f t="shared" si="10"/>
        <v>5044.8</v>
      </c>
      <c r="Q366" s="3" t="str">
        <f t="shared" si="11"/>
        <v>29084257525044.8</v>
      </c>
      <c r="R366" t="s">
        <v>91</v>
      </c>
    </row>
    <row r="367" spans="1:28" hidden="1">
      <c r="A367" t="s">
        <v>29</v>
      </c>
      <c r="B367" s="1" t="s">
        <v>451</v>
      </c>
      <c r="C367" s="1" t="s">
        <v>69</v>
      </c>
      <c r="D367" s="1" t="s">
        <v>953</v>
      </c>
      <c r="E367" s="1" t="s">
        <v>334</v>
      </c>
      <c r="F367" s="1" t="s">
        <v>335</v>
      </c>
      <c r="G367" s="1" t="s">
        <v>954</v>
      </c>
      <c r="H367" s="1" t="s">
        <v>944</v>
      </c>
      <c r="I367" s="1">
        <v>31</v>
      </c>
      <c r="J367" s="2">
        <v>528.55999999999995</v>
      </c>
      <c r="K367" s="2">
        <v>528.55657619999999</v>
      </c>
      <c r="L367" s="2">
        <v>376.94</v>
      </c>
      <c r="M367" s="2">
        <v>376.94</v>
      </c>
      <c r="N367" s="1" t="s">
        <v>45</v>
      </c>
      <c r="O367" s="2">
        <v>1.4022300000000001</v>
      </c>
      <c r="P367" s="3">
        <f t="shared" si="10"/>
        <v>376.94</v>
      </c>
      <c r="Q367" s="3" t="str">
        <f t="shared" si="11"/>
        <v>2908425755376.94</v>
      </c>
      <c r="R367" t="s">
        <v>91</v>
      </c>
      <c r="S367" t="s">
        <v>60</v>
      </c>
      <c r="T367" t="s">
        <v>102</v>
      </c>
    </row>
    <row r="368" spans="1:28" hidden="1">
      <c r="A368" t="s">
        <v>29</v>
      </c>
      <c r="B368" s="1" t="s">
        <v>451</v>
      </c>
      <c r="C368" s="1" t="s">
        <v>69</v>
      </c>
      <c r="D368" s="1" t="s">
        <v>955</v>
      </c>
      <c r="E368" s="1" t="s">
        <v>334</v>
      </c>
      <c r="F368" s="1" t="s">
        <v>335</v>
      </c>
      <c r="G368" s="1" t="s">
        <v>956</v>
      </c>
      <c r="H368" s="1" t="s">
        <v>944</v>
      </c>
      <c r="I368" s="1">
        <v>31</v>
      </c>
      <c r="J368" s="2">
        <v>69.66</v>
      </c>
      <c r="K368" s="2">
        <v>69.662786400000002</v>
      </c>
      <c r="L368" s="2">
        <v>49.68</v>
      </c>
      <c r="M368" s="2">
        <v>49.68</v>
      </c>
      <c r="N368" s="1" t="s">
        <v>45</v>
      </c>
      <c r="O368" s="2">
        <v>1.4022300000000001</v>
      </c>
      <c r="P368" s="3">
        <f t="shared" si="10"/>
        <v>49.68</v>
      </c>
      <c r="Q368" s="3" t="str">
        <f t="shared" si="11"/>
        <v>290842588149.68</v>
      </c>
      <c r="R368" t="s">
        <v>91</v>
      </c>
      <c r="S368" t="s">
        <v>60</v>
      </c>
      <c r="T368" t="s">
        <v>102</v>
      </c>
    </row>
    <row r="369" spans="1:28" hidden="1">
      <c r="A369" t="s">
        <v>29</v>
      </c>
      <c r="B369" s="1" t="s">
        <v>451</v>
      </c>
      <c r="C369" s="1" t="s">
        <v>69</v>
      </c>
      <c r="D369" s="1" t="s">
        <v>957</v>
      </c>
      <c r="E369" s="1" t="s">
        <v>334</v>
      </c>
      <c r="F369" s="1" t="s">
        <v>335</v>
      </c>
      <c r="G369" s="1" t="s">
        <v>958</v>
      </c>
      <c r="H369" s="1" t="s">
        <v>944</v>
      </c>
      <c r="I369" s="1">
        <v>31</v>
      </c>
      <c r="J369" s="2">
        <v>6822.42</v>
      </c>
      <c r="K369" s="2">
        <v>6822.4238642999999</v>
      </c>
      <c r="L369" s="2">
        <v>4865.41</v>
      </c>
      <c r="M369" s="2">
        <v>4865.41</v>
      </c>
      <c r="N369" s="1" t="s">
        <v>45</v>
      </c>
      <c r="O369" s="2">
        <v>1.4022300000000001</v>
      </c>
      <c r="P369" s="3">
        <f t="shared" si="10"/>
        <v>4865.41</v>
      </c>
      <c r="Q369" s="3" t="str">
        <f t="shared" si="11"/>
        <v>29084264154865.41</v>
      </c>
      <c r="R369" t="s">
        <v>91</v>
      </c>
      <c r="S369" t="s">
        <v>60</v>
      </c>
      <c r="T369" t="s">
        <v>102</v>
      </c>
    </row>
    <row r="370" spans="1:28" hidden="1">
      <c r="A370" t="s">
        <v>29</v>
      </c>
      <c r="B370" s="1" t="s">
        <v>451</v>
      </c>
      <c r="C370" s="1" t="s">
        <v>69</v>
      </c>
      <c r="D370" s="1" t="s">
        <v>959</v>
      </c>
      <c r="E370" s="1" t="s">
        <v>392</v>
      </c>
      <c r="F370" s="1" t="s">
        <v>393</v>
      </c>
      <c r="G370" s="1" t="s">
        <v>394</v>
      </c>
      <c r="H370" s="1" t="s">
        <v>944</v>
      </c>
      <c r="I370" s="1">
        <v>31</v>
      </c>
      <c r="J370" s="2">
        <v>18758</v>
      </c>
      <c r="K370" s="2">
        <v>18758</v>
      </c>
      <c r="L370" s="2">
        <v>18758</v>
      </c>
      <c r="M370" s="2">
        <v>18758</v>
      </c>
      <c r="N370" s="1" t="s">
        <v>36</v>
      </c>
      <c r="O370" s="2">
        <v>1</v>
      </c>
      <c r="P370" s="3">
        <f t="shared" si="10"/>
        <v>14068.5</v>
      </c>
      <c r="Q370" s="3" t="str">
        <f t="shared" si="11"/>
        <v>000208718758</v>
      </c>
      <c r="R370" t="s">
        <v>395</v>
      </c>
      <c r="S370" t="s">
        <v>396</v>
      </c>
      <c r="T370" t="s">
        <v>102</v>
      </c>
    </row>
    <row r="371" spans="1:28" hidden="1">
      <c r="A371" t="s">
        <v>29</v>
      </c>
      <c r="B371" s="1" t="s">
        <v>451</v>
      </c>
      <c r="C371" s="1" t="s">
        <v>69</v>
      </c>
      <c r="D371" s="1" t="s">
        <v>960</v>
      </c>
      <c r="E371" s="1" t="s">
        <v>961</v>
      </c>
      <c r="F371" s="1" t="s">
        <v>962</v>
      </c>
      <c r="G371" s="1" t="s">
        <v>963</v>
      </c>
      <c r="H371" s="1" t="s">
        <v>944</v>
      </c>
      <c r="I371" s="1">
        <v>31</v>
      </c>
      <c r="J371" s="2">
        <v>45007.9</v>
      </c>
      <c r="K371" s="2">
        <v>45007.9</v>
      </c>
      <c r="L371" s="2">
        <v>45007.9</v>
      </c>
      <c r="M371" s="2">
        <v>45007.9</v>
      </c>
      <c r="N371" s="1" t="s">
        <v>36</v>
      </c>
      <c r="O371" s="2">
        <v>1</v>
      </c>
      <c r="P371" s="3">
        <f t="shared" si="10"/>
        <v>33755.925000000003</v>
      </c>
      <c r="Q371" s="3" t="str">
        <f t="shared" si="11"/>
        <v>10056145007.9</v>
      </c>
      <c r="R371" t="s">
        <v>343</v>
      </c>
    </row>
    <row r="372" spans="1:28" hidden="1">
      <c r="A372" t="s">
        <v>29</v>
      </c>
      <c r="B372" s="1" t="s">
        <v>780</v>
      </c>
      <c r="C372" s="1" t="s">
        <v>217</v>
      </c>
      <c r="D372" s="1" t="s">
        <v>964</v>
      </c>
      <c r="E372" s="1" t="s">
        <v>275</v>
      </c>
      <c r="F372" s="1" t="s">
        <v>276</v>
      </c>
      <c r="G372" s="1" t="s">
        <v>965</v>
      </c>
      <c r="H372" s="1" t="s">
        <v>32</v>
      </c>
      <c r="I372" s="1" t="s">
        <v>32</v>
      </c>
      <c r="J372" s="2">
        <v>-8676.43</v>
      </c>
      <c r="K372" s="2">
        <v>-8676.43</v>
      </c>
      <c r="L372" s="2">
        <v>-8676.43</v>
      </c>
      <c r="M372" s="2">
        <v>-8676.43</v>
      </c>
      <c r="N372" s="1" t="s">
        <v>36</v>
      </c>
      <c r="O372" s="2">
        <v>1</v>
      </c>
      <c r="P372" s="3">
        <f t="shared" si="10"/>
        <v>-6507.3225000000002</v>
      </c>
      <c r="Q372" s="3" t="str">
        <f t="shared" si="11"/>
        <v>6010757529-8676.43</v>
      </c>
      <c r="AB372" t="s">
        <v>40</v>
      </c>
    </row>
    <row r="373" spans="1:28" hidden="1">
      <c r="A373" t="s">
        <v>29</v>
      </c>
      <c r="B373" s="1" t="s">
        <v>96</v>
      </c>
      <c r="C373" s="1" t="s">
        <v>69</v>
      </c>
      <c r="D373" s="1" t="s">
        <v>966</v>
      </c>
      <c r="E373" s="1" t="s">
        <v>488</v>
      </c>
      <c r="F373" s="1" t="s">
        <v>346</v>
      </c>
      <c r="G373" s="1" t="s">
        <v>967</v>
      </c>
      <c r="H373" s="1" t="s">
        <v>968</v>
      </c>
      <c r="I373" s="1">
        <v>30</v>
      </c>
      <c r="J373" s="2">
        <v>24593.63</v>
      </c>
      <c r="K373" s="2">
        <v>24593.625</v>
      </c>
      <c r="L373" s="2">
        <v>17500</v>
      </c>
      <c r="M373" s="2">
        <v>17500</v>
      </c>
      <c r="N373" s="1" t="s">
        <v>45</v>
      </c>
      <c r="O373" s="2">
        <v>1.4053500000000001</v>
      </c>
      <c r="P373" s="3">
        <f t="shared" si="10"/>
        <v>17500</v>
      </c>
      <c r="Q373" s="3" t="str">
        <f t="shared" si="11"/>
        <v>8818717500</v>
      </c>
      <c r="R373" t="s">
        <v>475</v>
      </c>
      <c r="S373" t="s">
        <v>60</v>
      </c>
      <c r="T373" t="s">
        <v>102</v>
      </c>
    </row>
    <row r="374" spans="1:28" hidden="1">
      <c r="A374" t="s">
        <v>29</v>
      </c>
      <c r="B374" s="1" t="s">
        <v>474</v>
      </c>
      <c r="C374" s="1" t="s">
        <v>69</v>
      </c>
      <c r="D374" s="1" t="s">
        <v>969</v>
      </c>
      <c r="E374" s="1" t="s">
        <v>584</v>
      </c>
      <c r="F374" s="1" t="s">
        <v>585</v>
      </c>
      <c r="G374" s="1" t="s">
        <v>752</v>
      </c>
      <c r="H374" s="1" t="s">
        <v>968</v>
      </c>
      <c r="I374" s="1">
        <v>30</v>
      </c>
      <c r="J374" s="2">
        <v>97.41</v>
      </c>
      <c r="K374" s="2">
        <v>97.41</v>
      </c>
      <c r="L374" s="2">
        <v>97.41</v>
      </c>
      <c r="M374" s="2">
        <v>97.41</v>
      </c>
      <c r="N374" s="1" t="s">
        <v>36</v>
      </c>
      <c r="O374" s="2">
        <v>1</v>
      </c>
      <c r="P374" s="3">
        <f t="shared" si="10"/>
        <v>73.057500000000005</v>
      </c>
      <c r="Q374" s="3" t="str">
        <f t="shared" si="11"/>
        <v>772177797.41</v>
      </c>
      <c r="R374" t="s">
        <v>758</v>
      </c>
      <c r="S374" t="s">
        <v>60</v>
      </c>
    </row>
    <row r="375" spans="1:28" hidden="1">
      <c r="A375" t="s">
        <v>29</v>
      </c>
      <c r="B375" s="1" t="s">
        <v>474</v>
      </c>
      <c r="C375" s="1" t="s">
        <v>69</v>
      </c>
      <c r="D375" s="1" t="s">
        <v>970</v>
      </c>
      <c r="E375" s="1" t="s">
        <v>584</v>
      </c>
      <c r="F375" s="1" t="s">
        <v>585</v>
      </c>
      <c r="G375" s="1" t="s">
        <v>752</v>
      </c>
      <c r="H375" s="1" t="s">
        <v>968</v>
      </c>
      <c r="I375" s="1">
        <v>30</v>
      </c>
      <c r="J375" s="2">
        <v>189.9</v>
      </c>
      <c r="K375" s="2">
        <v>189.9</v>
      </c>
      <c r="L375" s="2">
        <v>189.9</v>
      </c>
      <c r="M375" s="2">
        <v>189.9</v>
      </c>
      <c r="N375" s="1" t="s">
        <v>36</v>
      </c>
      <c r="O375" s="2">
        <v>1</v>
      </c>
      <c r="P375" s="3">
        <f t="shared" si="10"/>
        <v>142.42500000000001</v>
      </c>
      <c r="Q375" s="3" t="str">
        <f t="shared" si="11"/>
        <v>7722098189.9</v>
      </c>
      <c r="R375" t="s">
        <v>758</v>
      </c>
      <c r="S375" t="s">
        <v>60</v>
      </c>
    </row>
    <row r="376" spans="1:28" hidden="1">
      <c r="A376" t="s">
        <v>29</v>
      </c>
      <c r="B376" s="1" t="s">
        <v>474</v>
      </c>
      <c r="C376" s="1" t="s">
        <v>69</v>
      </c>
      <c r="D376" s="1" t="s">
        <v>971</v>
      </c>
      <c r="E376" s="1" t="s">
        <v>584</v>
      </c>
      <c r="F376" s="1" t="s">
        <v>585</v>
      </c>
      <c r="G376" s="1" t="s">
        <v>752</v>
      </c>
      <c r="H376" s="1" t="s">
        <v>968</v>
      </c>
      <c r="I376" s="1">
        <v>30</v>
      </c>
      <c r="J376" s="2">
        <v>97.41</v>
      </c>
      <c r="K376" s="2">
        <v>97.41</v>
      </c>
      <c r="L376" s="2">
        <v>97.41</v>
      </c>
      <c r="M376" s="2">
        <v>97.41</v>
      </c>
      <c r="N376" s="1" t="s">
        <v>36</v>
      </c>
      <c r="O376" s="2">
        <v>1</v>
      </c>
      <c r="P376" s="3">
        <f t="shared" si="10"/>
        <v>73.057500000000005</v>
      </c>
      <c r="Q376" s="3" t="str">
        <f t="shared" si="11"/>
        <v>772179197.41</v>
      </c>
      <c r="R376" t="s">
        <v>758</v>
      </c>
      <c r="S376" t="s">
        <v>60</v>
      </c>
    </row>
    <row r="377" spans="1:28" hidden="1">
      <c r="A377" t="s">
        <v>29</v>
      </c>
      <c r="B377" s="1" t="s">
        <v>474</v>
      </c>
      <c r="C377" s="1" t="s">
        <v>69</v>
      </c>
      <c r="D377" s="1" t="s">
        <v>972</v>
      </c>
      <c r="E377" s="1" t="s">
        <v>584</v>
      </c>
      <c r="F377" s="1" t="s">
        <v>585</v>
      </c>
      <c r="G377" s="1" t="s">
        <v>752</v>
      </c>
      <c r="H377" s="1" t="s">
        <v>968</v>
      </c>
      <c r="I377" s="1">
        <v>30</v>
      </c>
      <c r="J377" s="2">
        <v>97.41</v>
      </c>
      <c r="K377" s="2">
        <v>97.41</v>
      </c>
      <c r="L377" s="2">
        <v>97.41</v>
      </c>
      <c r="M377" s="2">
        <v>97.41</v>
      </c>
      <c r="N377" s="1" t="s">
        <v>36</v>
      </c>
      <c r="O377" s="2">
        <v>1</v>
      </c>
      <c r="P377" s="3">
        <f t="shared" si="10"/>
        <v>73.057500000000005</v>
      </c>
      <c r="Q377" s="3" t="str">
        <f t="shared" si="11"/>
        <v>772241797.41</v>
      </c>
      <c r="R377" t="s">
        <v>758</v>
      </c>
      <c r="S377" t="s">
        <v>60</v>
      </c>
    </row>
    <row r="378" spans="1:28" hidden="1">
      <c r="A378" t="s">
        <v>29</v>
      </c>
      <c r="B378" s="1" t="s">
        <v>474</v>
      </c>
      <c r="C378" s="1" t="s">
        <v>69</v>
      </c>
      <c r="D378" s="1" t="s">
        <v>973</v>
      </c>
      <c r="E378" s="1" t="s">
        <v>239</v>
      </c>
      <c r="F378" s="1" t="s">
        <v>240</v>
      </c>
      <c r="G378" s="1" t="s">
        <v>911</v>
      </c>
      <c r="H378" s="1" t="s">
        <v>968</v>
      </c>
      <c r="I378" s="1">
        <v>30</v>
      </c>
      <c r="J378" s="2">
        <v>387088.46</v>
      </c>
      <c r="K378" s="2">
        <v>387088.45829550002</v>
      </c>
      <c r="L378" s="2">
        <v>275831.73</v>
      </c>
      <c r="M378" s="2">
        <v>275831.73</v>
      </c>
      <c r="N378" s="1" t="s">
        <v>45</v>
      </c>
      <c r="O378" s="2">
        <v>1.4033500000000001</v>
      </c>
      <c r="P378" s="3">
        <f t="shared" si="10"/>
        <v>275831.73</v>
      </c>
      <c r="Q378" s="3" t="str">
        <f t="shared" si="11"/>
        <v>9116828237275831.73</v>
      </c>
      <c r="R378" t="s">
        <v>59</v>
      </c>
      <c r="S378" t="s">
        <v>60</v>
      </c>
      <c r="T378" t="s">
        <v>102</v>
      </c>
    </row>
    <row r="379" spans="1:28" hidden="1">
      <c r="A379" t="s">
        <v>29</v>
      </c>
      <c r="B379" s="1" t="s">
        <v>474</v>
      </c>
      <c r="C379" s="1" t="s">
        <v>69</v>
      </c>
      <c r="D379" s="1" t="s">
        <v>974</v>
      </c>
      <c r="E379" s="1" t="s">
        <v>975</v>
      </c>
      <c r="F379" s="1" t="s">
        <v>976</v>
      </c>
      <c r="G379" s="1" t="s">
        <v>977</v>
      </c>
      <c r="H379" s="1" t="s">
        <v>968</v>
      </c>
      <c r="I379" s="1">
        <v>30</v>
      </c>
      <c r="J379" s="2">
        <v>3073.25</v>
      </c>
      <c r="K379" s="2">
        <v>3073.2522990000002</v>
      </c>
      <c r="L379" s="2">
        <v>2189.94</v>
      </c>
      <c r="M379" s="2">
        <v>2189.94</v>
      </c>
      <c r="N379" s="1" t="s">
        <v>45</v>
      </c>
      <c r="O379" s="2">
        <v>1.4033500000000001</v>
      </c>
      <c r="P379" s="3">
        <f t="shared" si="10"/>
        <v>2189.94</v>
      </c>
      <c r="Q379" s="3" t="str">
        <f t="shared" si="11"/>
        <v>56000149352189.94</v>
      </c>
      <c r="R379" t="s">
        <v>37</v>
      </c>
      <c r="S379" t="s">
        <v>60</v>
      </c>
      <c r="T379" t="s">
        <v>102</v>
      </c>
    </row>
    <row r="380" spans="1:28" hidden="1">
      <c r="A380" t="s">
        <v>29</v>
      </c>
      <c r="B380" s="1" t="s">
        <v>474</v>
      </c>
      <c r="C380" s="1" t="s">
        <v>69</v>
      </c>
      <c r="D380" s="1" t="s">
        <v>978</v>
      </c>
      <c r="E380" s="1" t="s">
        <v>71</v>
      </c>
      <c r="F380" s="1" t="s">
        <v>72</v>
      </c>
      <c r="G380" s="1" t="s">
        <v>943</v>
      </c>
      <c r="H380" s="1" t="s">
        <v>968</v>
      </c>
      <c r="I380" s="1">
        <v>30</v>
      </c>
      <c r="J380" s="2">
        <v>1045735.06</v>
      </c>
      <c r="K380" s="2">
        <v>1045735.0632755</v>
      </c>
      <c r="L380" s="2">
        <v>745170.53</v>
      </c>
      <c r="M380" s="2">
        <v>745170.53</v>
      </c>
      <c r="N380" s="1" t="s">
        <v>45</v>
      </c>
      <c r="O380" s="2">
        <v>1.4033500000000001</v>
      </c>
      <c r="P380" s="3">
        <f t="shared" si="10"/>
        <v>745170.53</v>
      </c>
      <c r="Q380" s="3" t="str">
        <f t="shared" si="11"/>
        <v>91909170745170.53</v>
      </c>
      <c r="R380" t="s">
        <v>74</v>
      </c>
      <c r="S380" t="s">
        <v>60</v>
      </c>
      <c r="T380" t="s">
        <v>102</v>
      </c>
    </row>
    <row r="381" spans="1:28" hidden="1">
      <c r="A381" t="s">
        <v>29</v>
      </c>
      <c r="B381" s="1" t="s">
        <v>474</v>
      </c>
      <c r="C381" s="1" t="s">
        <v>69</v>
      </c>
      <c r="D381" s="1" t="s">
        <v>979</v>
      </c>
      <c r="E381" s="1" t="s">
        <v>334</v>
      </c>
      <c r="F381" s="1" t="s">
        <v>335</v>
      </c>
      <c r="G381" s="1" t="s">
        <v>980</v>
      </c>
      <c r="H381" s="1" t="s">
        <v>968</v>
      </c>
      <c r="I381" s="1">
        <v>30</v>
      </c>
      <c r="J381" s="2">
        <v>18.02</v>
      </c>
      <c r="K381" s="2">
        <v>18.019013999999999</v>
      </c>
      <c r="L381" s="2">
        <v>12.84</v>
      </c>
      <c r="M381" s="2">
        <v>12.84</v>
      </c>
      <c r="N381" s="1" t="s">
        <v>45</v>
      </c>
      <c r="O381" s="2">
        <v>1.4033500000000001</v>
      </c>
      <c r="P381" s="3">
        <f t="shared" si="10"/>
        <v>12.84</v>
      </c>
      <c r="Q381" s="3" t="str">
        <f t="shared" si="11"/>
        <v>290842859612.84</v>
      </c>
      <c r="R381" t="s">
        <v>91</v>
      </c>
      <c r="S381" t="s">
        <v>60</v>
      </c>
      <c r="T381" t="s">
        <v>102</v>
      </c>
    </row>
    <row r="382" spans="1:28" hidden="1">
      <c r="A382" t="s">
        <v>29</v>
      </c>
      <c r="B382" s="1" t="s">
        <v>474</v>
      </c>
      <c r="C382" s="1" t="s">
        <v>69</v>
      </c>
      <c r="D382" s="1" t="s">
        <v>981</v>
      </c>
      <c r="E382" s="1" t="s">
        <v>334</v>
      </c>
      <c r="F382" s="1" t="s">
        <v>335</v>
      </c>
      <c r="G382" s="1" t="s">
        <v>643</v>
      </c>
      <c r="H382" s="1" t="s">
        <v>968</v>
      </c>
      <c r="I382" s="1">
        <v>30</v>
      </c>
      <c r="J382" s="2">
        <v>176.99</v>
      </c>
      <c r="K382" s="2">
        <v>176.99050199999999</v>
      </c>
      <c r="L382" s="2">
        <v>126.12</v>
      </c>
      <c r="M382" s="2">
        <v>126.12</v>
      </c>
      <c r="N382" s="1" t="s">
        <v>45</v>
      </c>
      <c r="O382" s="2">
        <v>1.4033500000000001</v>
      </c>
      <c r="P382" s="3">
        <f t="shared" si="10"/>
        <v>126.12</v>
      </c>
      <c r="Q382" s="3" t="str">
        <f t="shared" si="11"/>
        <v>2908429226126.12</v>
      </c>
      <c r="R382" t="s">
        <v>91</v>
      </c>
      <c r="S382" t="s">
        <v>60</v>
      </c>
      <c r="T382" t="s">
        <v>102</v>
      </c>
    </row>
    <row r="383" spans="1:28" hidden="1">
      <c r="A383" t="s">
        <v>29</v>
      </c>
      <c r="B383" s="1" t="s">
        <v>474</v>
      </c>
      <c r="C383" s="1" t="s">
        <v>69</v>
      </c>
      <c r="D383" s="1" t="s">
        <v>982</v>
      </c>
      <c r="E383" s="1" t="s">
        <v>334</v>
      </c>
      <c r="F383" s="1" t="s">
        <v>335</v>
      </c>
      <c r="G383" s="1" t="s">
        <v>877</v>
      </c>
      <c r="H383" s="1" t="s">
        <v>968</v>
      </c>
      <c r="I383" s="1">
        <v>30</v>
      </c>
      <c r="J383" s="2">
        <v>1148.1600000000001</v>
      </c>
      <c r="K383" s="2">
        <v>1148.1648359999999</v>
      </c>
      <c r="L383" s="2">
        <v>818.16</v>
      </c>
      <c r="M383" s="2">
        <v>818.16</v>
      </c>
      <c r="N383" s="1" t="s">
        <v>45</v>
      </c>
      <c r="O383" s="2">
        <v>1.4033500000000001</v>
      </c>
      <c r="P383" s="3">
        <f t="shared" si="10"/>
        <v>818.16</v>
      </c>
      <c r="Q383" s="3" t="str">
        <f t="shared" si="11"/>
        <v>2908429232818.16</v>
      </c>
      <c r="R383" t="s">
        <v>91</v>
      </c>
      <c r="S383" t="s">
        <v>60</v>
      </c>
      <c r="T383" t="s">
        <v>102</v>
      </c>
    </row>
    <row r="384" spans="1:28" hidden="1">
      <c r="A384" t="s">
        <v>29</v>
      </c>
      <c r="B384" s="1" t="s">
        <v>474</v>
      </c>
      <c r="C384" s="1" t="s">
        <v>69</v>
      </c>
      <c r="D384" s="1" t="s">
        <v>983</v>
      </c>
      <c r="E384" s="1" t="s">
        <v>334</v>
      </c>
      <c r="F384" s="1" t="s">
        <v>335</v>
      </c>
      <c r="G384" s="1" t="s">
        <v>533</v>
      </c>
      <c r="H384" s="1" t="s">
        <v>968</v>
      </c>
      <c r="I384" s="1">
        <v>30</v>
      </c>
      <c r="J384" s="2">
        <v>3698.99</v>
      </c>
      <c r="K384" s="2">
        <v>3698.9920305000001</v>
      </c>
      <c r="L384" s="2">
        <v>2635.83</v>
      </c>
      <c r="M384" s="2">
        <v>2635.83</v>
      </c>
      <c r="N384" s="1" t="s">
        <v>45</v>
      </c>
      <c r="O384" s="2">
        <v>1.4033500000000001</v>
      </c>
      <c r="P384" s="3">
        <f t="shared" si="10"/>
        <v>2635.83</v>
      </c>
      <c r="Q384" s="3" t="str">
        <f t="shared" si="11"/>
        <v>29084300412635.83</v>
      </c>
      <c r="R384" t="s">
        <v>91</v>
      </c>
      <c r="S384" t="s">
        <v>60</v>
      </c>
      <c r="T384" t="s">
        <v>102</v>
      </c>
    </row>
    <row r="385" spans="1:20" hidden="1">
      <c r="A385" t="s">
        <v>29</v>
      </c>
      <c r="B385" s="1" t="s">
        <v>474</v>
      </c>
      <c r="C385" s="1" t="s">
        <v>69</v>
      </c>
      <c r="D385" s="1" t="s">
        <v>984</v>
      </c>
      <c r="E385" s="1" t="s">
        <v>150</v>
      </c>
      <c r="F385" s="1" t="s">
        <v>151</v>
      </c>
      <c r="G385" s="1" t="s">
        <v>985</v>
      </c>
      <c r="H385" s="1" t="s">
        <v>968</v>
      </c>
      <c r="I385" s="1">
        <v>30</v>
      </c>
      <c r="J385" s="2">
        <v>271352.55</v>
      </c>
      <c r="K385" s="2">
        <v>271352.55</v>
      </c>
      <c r="L385" s="2">
        <v>271352.55</v>
      </c>
      <c r="M385" s="2">
        <v>271352.55</v>
      </c>
      <c r="N385" s="1" t="s">
        <v>36</v>
      </c>
      <c r="O385" s="2">
        <v>1</v>
      </c>
      <c r="P385" s="3">
        <f t="shared" ref="P385:P448" si="12">IF(N385="CAD",$P$1,1)*M385</f>
        <v>203514.41249999998</v>
      </c>
      <c r="Q385" s="3" t="str">
        <f t="shared" ref="Q385:Q448" si="13">D385&amp;M385</f>
        <v>CB00477465271352.55</v>
      </c>
      <c r="R385" t="s">
        <v>37</v>
      </c>
      <c r="S385" t="s">
        <v>60</v>
      </c>
      <c r="T385" t="s">
        <v>102</v>
      </c>
    </row>
    <row r="386" spans="1:20" hidden="1">
      <c r="A386" t="s">
        <v>29</v>
      </c>
      <c r="B386" s="1" t="s">
        <v>474</v>
      </c>
      <c r="C386" s="1" t="s">
        <v>69</v>
      </c>
      <c r="D386" s="1" t="s">
        <v>986</v>
      </c>
      <c r="E386" s="1" t="s">
        <v>150</v>
      </c>
      <c r="F386" s="1" t="s">
        <v>151</v>
      </c>
      <c r="G386" s="1" t="s">
        <v>987</v>
      </c>
      <c r="H386" s="1" t="s">
        <v>968</v>
      </c>
      <c r="I386" s="1">
        <v>30</v>
      </c>
      <c r="J386" s="2">
        <v>26601.040000000001</v>
      </c>
      <c r="K386" s="2">
        <v>26601.040000000001</v>
      </c>
      <c r="L386" s="2">
        <v>26601.040000000001</v>
      </c>
      <c r="M386" s="2">
        <v>26601.040000000001</v>
      </c>
      <c r="N386" s="1" t="s">
        <v>36</v>
      </c>
      <c r="O386" s="2">
        <v>1</v>
      </c>
      <c r="P386" s="3">
        <f t="shared" si="12"/>
        <v>19950.78</v>
      </c>
      <c r="Q386" s="3" t="str">
        <f t="shared" si="13"/>
        <v>CB0047759426601.04</v>
      </c>
      <c r="R386" t="s">
        <v>37</v>
      </c>
      <c r="S386" t="s">
        <v>60</v>
      </c>
      <c r="T386" t="s">
        <v>102</v>
      </c>
    </row>
    <row r="387" spans="1:20" hidden="1">
      <c r="A387" t="s">
        <v>29</v>
      </c>
      <c r="B387" s="1" t="s">
        <v>474</v>
      </c>
      <c r="C387" s="1" t="s">
        <v>69</v>
      </c>
      <c r="D387" s="1" t="s">
        <v>988</v>
      </c>
      <c r="E387" s="1" t="s">
        <v>334</v>
      </c>
      <c r="F387" s="1" t="s">
        <v>335</v>
      </c>
      <c r="G387" s="1" t="s">
        <v>989</v>
      </c>
      <c r="H387" s="1" t="s">
        <v>968</v>
      </c>
      <c r="I387" s="1">
        <v>30</v>
      </c>
      <c r="J387" s="2">
        <v>293.88</v>
      </c>
      <c r="K387" s="2">
        <v>293.87552349999999</v>
      </c>
      <c r="L387" s="2">
        <v>209.41</v>
      </c>
      <c r="M387" s="2">
        <v>209.41</v>
      </c>
      <c r="N387" s="1" t="s">
        <v>45</v>
      </c>
      <c r="O387" s="2">
        <v>1.4033500000000001</v>
      </c>
      <c r="P387" s="3">
        <f t="shared" si="12"/>
        <v>209.41</v>
      </c>
      <c r="Q387" s="3" t="str">
        <f t="shared" si="13"/>
        <v>2908430042209.41</v>
      </c>
      <c r="R387" t="s">
        <v>91</v>
      </c>
      <c r="S387" t="s">
        <v>60</v>
      </c>
      <c r="T387" t="s">
        <v>102</v>
      </c>
    </row>
    <row r="388" spans="1:20" hidden="1">
      <c r="A388" t="s">
        <v>29</v>
      </c>
      <c r="B388" s="1" t="s">
        <v>474</v>
      </c>
      <c r="C388" s="1" t="s">
        <v>69</v>
      </c>
      <c r="D388" s="1" t="s">
        <v>990</v>
      </c>
      <c r="E388" s="1" t="s">
        <v>183</v>
      </c>
      <c r="F388" s="1" t="s">
        <v>184</v>
      </c>
      <c r="G388" s="1" t="s">
        <v>991</v>
      </c>
      <c r="H388" s="1" t="s">
        <v>968</v>
      </c>
      <c r="I388" s="1">
        <v>30</v>
      </c>
      <c r="J388" s="2">
        <v>711.9</v>
      </c>
      <c r="K388" s="2">
        <v>711.9</v>
      </c>
      <c r="L388" s="2">
        <v>711.9</v>
      </c>
      <c r="M388" s="2">
        <v>711.9</v>
      </c>
      <c r="N388" s="1" t="s">
        <v>36</v>
      </c>
      <c r="O388" s="2">
        <v>1</v>
      </c>
      <c r="P388" s="3">
        <f t="shared" si="12"/>
        <v>533.92499999999995</v>
      </c>
      <c r="Q388" s="3" t="str">
        <f t="shared" si="13"/>
        <v>427711.9</v>
      </c>
      <c r="R388" t="s">
        <v>992</v>
      </c>
      <c r="S388" t="s">
        <v>60</v>
      </c>
      <c r="T388" t="s">
        <v>102</v>
      </c>
    </row>
    <row r="389" spans="1:20" hidden="1">
      <c r="A389" t="s">
        <v>29</v>
      </c>
      <c r="B389" s="1" t="s">
        <v>687</v>
      </c>
      <c r="C389" s="1" t="s">
        <v>69</v>
      </c>
      <c r="D389" s="1" t="s">
        <v>993</v>
      </c>
      <c r="E389" s="1" t="s">
        <v>519</v>
      </c>
      <c r="F389" s="1" t="s">
        <v>520</v>
      </c>
      <c r="G389" s="1" t="s">
        <v>521</v>
      </c>
      <c r="H389" s="1" t="s">
        <v>968</v>
      </c>
      <c r="I389" s="1">
        <v>30</v>
      </c>
      <c r="J389" s="2">
        <v>43391.08</v>
      </c>
      <c r="K389" s="2">
        <v>43391.075437500003</v>
      </c>
      <c r="L389" s="2">
        <v>30997.5</v>
      </c>
      <c r="M389" s="2">
        <v>30997.5</v>
      </c>
      <c r="N389" s="1" t="s">
        <v>45</v>
      </c>
      <c r="O389" s="2">
        <v>1.3998250000000001</v>
      </c>
      <c r="P389" s="3">
        <f t="shared" si="12"/>
        <v>30997.5</v>
      </c>
      <c r="Q389" s="3" t="str">
        <f t="shared" si="13"/>
        <v>PNA25-09233-130997.5</v>
      </c>
    </row>
    <row r="390" spans="1:20" hidden="1">
      <c r="A390" t="s">
        <v>29</v>
      </c>
      <c r="B390" s="1" t="s">
        <v>495</v>
      </c>
      <c r="C390" s="1" t="s">
        <v>69</v>
      </c>
      <c r="D390" s="1" t="s">
        <v>994</v>
      </c>
      <c r="E390" s="1" t="s">
        <v>334</v>
      </c>
      <c r="F390" s="1" t="s">
        <v>335</v>
      </c>
      <c r="G390" s="1" t="s">
        <v>877</v>
      </c>
      <c r="H390" s="1" t="s">
        <v>995</v>
      </c>
      <c r="I390" s="1">
        <v>29</v>
      </c>
      <c r="J390" s="2">
        <v>595.96</v>
      </c>
      <c r="K390" s="2">
        <v>595.96064449999994</v>
      </c>
      <c r="L390" s="2">
        <v>424.67</v>
      </c>
      <c r="M390" s="2">
        <v>424.67</v>
      </c>
      <c r="N390" s="1" t="s">
        <v>45</v>
      </c>
      <c r="O390" s="2">
        <v>1.4033500000000001</v>
      </c>
      <c r="P390" s="3">
        <f t="shared" si="12"/>
        <v>424.67</v>
      </c>
      <c r="Q390" s="3" t="str">
        <f t="shared" si="13"/>
        <v>2908432628424.67</v>
      </c>
      <c r="R390" t="s">
        <v>91</v>
      </c>
      <c r="S390" t="s">
        <v>60</v>
      </c>
      <c r="T390" t="s">
        <v>102</v>
      </c>
    </row>
    <row r="391" spans="1:20" hidden="1">
      <c r="A391" t="s">
        <v>29</v>
      </c>
      <c r="B391" s="1" t="s">
        <v>495</v>
      </c>
      <c r="C391" s="1" t="s">
        <v>69</v>
      </c>
      <c r="D391" s="1" t="s">
        <v>996</v>
      </c>
      <c r="E391" s="1" t="s">
        <v>334</v>
      </c>
      <c r="F391" s="1" t="s">
        <v>335</v>
      </c>
      <c r="G391" s="1" t="s">
        <v>533</v>
      </c>
      <c r="H391" s="1" t="s">
        <v>995</v>
      </c>
      <c r="I391" s="1">
        <v>29</v>
      </c>
      <c r="J391" s="2">
        <v>3538.63</v>
      </c>
      <c r="K391" s="2">
        <v>3538.631226</v>
      </c>
      <c r="L391" s="2">
        <v>2521.56</v>
      </c>
      <c r="M391" s="2">
        <v>2521.56</v>
      </c>
      <c r="N391" s="1" t="s">
        <v>45</v>
      </c>
      <c r="O391" s="2">
        <v>1.4033500000000001</v>
      </c>
      <c r="P391" s="3">
        <f t="shared" si="12"/>
        <v>2521.56</v>
      </c>
      <c r="Q391" s="3" t="str">
        <f t="shared" si="13"/>
        <v>29084308872521.56</v>
      </c>
      <c r="R391" t="s">
        <v>91</v>
      </c>
      <c r="S391" t="s">
        <v>60</v>
      </c>
      <c r="T391" t="s">
        <v>102</v>
      </c>
    </row>
    <row r="392" spans="1:20" hidden="1">
      <c r="A392" t="s">
        <v>29</v>
      </c>
      <c r="B392" s="1" t="s">
        <v>495</v>
      </c>
      <c r="C392" s="1" t="s">
        <v>69</v>
      </c>
      <c r="D392" s="1" t="s">
        <v>997</v>
      </c>
      <c r="E392" s="1" t="s">
        <v>334</v>
      </c>
      <c r="F392" s="1" t="s">
        <v>335</v>
      </c>
      <c r="G392" s="1" t="s">
        <v>877</v>
      </c>
      <c r="H392" s="1" t="s">
        <v>995</v>
      </c>
      <c r="I392" s="1">
        <v>29</v>
      </c>
      <c r="J392" s="2">
        <v>269.27</v>
      </c>
      <c r="K392" s="2">
        <v>269.27479799999998</v>
      </c>
      <c r="L392" s="2">
        <v>191.88</v>
      </c>
      <c r="M392" s="2">
        <v>191.88</v>
      </c>
      <c r="N392" s="1" t="s">
        <v>45</v>
      </c>
      <c r="O392" s="2">
        <v>1.4033500000000001</v>
      </c>
      <c r="P392" s="3">
        <f t="shared" si="12"/>
        <v>191.88</v>
      </c>
      <c r="Q392" s="3" t="str">
        <f t="shared" si="13"/>
        <v>2908430889191.88</v>
      </c>
      <c r="R392" t="s">
        <v>91</v>
      </c>
      <c r="S392" t="s">
        <v>60</v>
      </c>
      <c r="T392" t="s">
        <v>102</v>
      </c>
    </row>
    <row r="393" spans="1:20" hidden="1">
      <c r="A393" t="s">
        <v>29</v>
      </c>
      <c r="B393" s="1" t="s">
        <v>495</v>
      </c>
      <c r="C393" s="1" t="s">
        <v>69</v>
      </c>
      <c r="D393" s="1" t="s">
        <v>998</v>
      </c>
      <c r="E393" s="1" t="s">
        <v>334</v>
      </c>
      <c r="F393" s="1" t="s">
        <v>335</v>
      </c>
      <c r="G393" s="1" t="s">
        <v>877</v>
      </c>
      <c r="H393" s="1" t="s">
        <v>995</v>
      </c>
      <c r="I393" s="1">
        <v>29</v>
      </c>
      <c r="J393" s="2">
        <v>323.95</v>
      </c>
      <c r="K393" s="2">
        <v>323.94931400000002</v>
      </c>
      <c r="L393" s="2">
        <v>230.84</v>
      </c>
      <c r="M393" s="2">
        <v>230.84</v>
      </c>
      <c r="N393" s="1" t="s">
        <v>45</v>
      </c>
      <c r="O393" s="2">
        <v>1.4033500000000001</v>
      </c>
      <c r="P393" s="3">
        <f t="shared" si="12"/>
        <v>230.84</v>
      </c>
      <c r="Q393" s="3" t="str">
        <f t="shared" si="13"/>
        <v>2908431617230.84</v>
      </c>
      <c r="R393" t="s">
        <v>91</v>
      </c>
      <c r="S393" t="s">
        <v>60</v>
      </c>
      <c r="T393" t="s">
        <v>102</v>
      </c>
    </row>
    <row r="394" spans="1:20" hidden="1">
      <c r="A394" t="s">
        <v>29</v>
      </c>
      <c r="B394" s="1" t="s">
        <v>495</v>
      </c>
      <c r="C394" s="1" t="s">
        <v>69</v>
      </c>
      <c r="D394" s="1" t="s">
        <v>999</v>
      </c>
      <c r="E394" s="1" t="s">
        <v>334</v>
      </c>
      <c r="F394" s="1" t="s">
        <v>335</v>
      </c>
      <c r="G394" s="1" t="s">
        <v>643</v>
      </c>
      <c r="H394" s="1" t="s">
        <v>995</v>
      </c>
      <c r="I394" s="1">
        <v>29</v>
      </c>
      <c r="J394" s="2">
        <v>16590.84</v>
      </c>
      <c r="K394" s="2">
        <v>16590.838738499999</v>
      </c>
      <c r="L394" s="2">
        <v>11822.31</v>
      </c>
      <c r="M394" s="2">
        <v>11822.31</v>
      </c>
      <c r="N394" s="1" t="s">
        <v>45</v>
      </c>
      <c r="O394" s="2">
        <v>1.4033500000000001</v>
      </c>
      <c r="P394" s="3">
        <f t="shared" si="12"/>
        <v>11822.31</v>
      </c>
      <c r="Q394" s="3" t="str">
        <f t="shared" si="13"/>
        <v>290843161811822.31</v>
      </c>
      <c r="R394" t="s">
        <v>91</v>
      </c>
      <c r="S394" t="s">
        <v>60</v>
      </c>
      <c r="T394" t="s">
        <v>102</v>
      </c>
    </row>
    <row r="395" spans="1:20" hidden="1">
      <c r="A395" t="s">
        <v>29</v>
      </c>
      <c r="B395" s="1" t="s">
        <v>495</v>
      </c>
      <c r="C395" s="1" t="s">
        <v>69</v>
      </c>
      <c r="D395" s="1" t="s">
        <v>1000</v>
      </c>
      <c r="E395" s="1" t="s">
        <v>334</v>
      </c>
      <c r="F395" s="1" t="s">
        <v>335</v>
      </c>
      <c r="G395" s="1" t="s">
        <v>748</v>
      </c>
      <c r="H395" s="1" t="s">
        <v>995</v>
      </c>
      <c r="I395" s="1">
        <v>29</v>
      </c>
      <c r="J395" s="2">
        <v>1755.58</v>
      </c>
      <c r="K395" s="2">
        <v>1755.5768164999999</v>
      </c>
      <c r="L395" s="2">
        <v>1250.99</v>
      </c>
      <c r="M395" s="2">
        <v>1250.99</v>
      </c>
      <c r="N395" s="1" t="s">
        <v>45</v>
      </c>
      <c r="O395" s="2">
        <v>1.4033500000000001</v>
      </c>
      <c r="P395" s="3">
        <f t="shared" si="12"/>
        <v>1250.99</v>
      </c>
      <c r="Q395" s="3" t="str">
        <f t="shared" si="13"/>
        <v>29084319181250.99</v>
      </c>
      <c r="R395" t="s">
        <v>91</v>
      </c>
      <c r="S395" t="s">
        <v>60</v>
      </c>
      <c r="T395" t="s">
        <v>102</v>
      </c>
    </row>
    <row r="396" spans="1:20" hidden="1">
      <c r="A396" t="s">
        <v>29</v>
      </c>
      <c r="B396" s="1" t="s">
        <v>495</v>
      </c>
      <c r="C396" s="1" t="s">
        <v>69</v>
      </c>
      <c r="D396" s="1" t="s">
        <v>1001</v>
      </c>
      <c r="E396" s="1" t="s">
        <v>334</v>
      </c>
      <c r="F396" s="1" t="s">
        <v>335</v>
      </c>
      <c r="G396" s="1" t="s">
        <v>877</v>
      </c>
      <c r="H396" s="1" t="s">
        <v>995</v>
      </c>
      <c r="I396" s="1">
        <v>29</v>
      </c>
      <c r="J396" s="2">
        <v>960.89</v>
      </c>
      <c r="K396" s="2">
        <v>960.88777849999997</v>
      </c>
      <c r="L396" s="2">
        <v>684.71</v>
      </c>
      <c r="M396" s="2">
        <v>684.71</v>
      </c>
      <c r="N396" s="1" t="s">
        <v>45</v>
      </c>
      <c r="O396" s="2">
        <v>1.4033500000000001</v>
      </c>
      <c r="P396" s="3">
        <f t="shared" si="12"/>
        <v>684.71</v>
      </c>
      <c r="Q396" s="3" t="str">
        <f t="shared" si="13"/>
        <v>2908432222684.71</v>
      </c>
      <c r="R396" t="s">
        <v>91</v>
      </c>
      <c r="S396" t="s">
        <v>60</v>
      </c>
      <c r="T396" t="s">
        <v>102</v>
      </c>
    </row>
    <row r="397" spans="1:20" hidden="1">
      <c r="A397" t="s">
        <v>29</v>
      </c>
      <c r="B397" s="1" t="s">
        <v>995</v>
      </c>
      <c r="C397" s="1" t="s">
        <v>69</v>
      </c>
      <c r="D397" s="1" t="s">
        <v>1002</v>
      </c>
      <c r="E397" s="1" t="s">
        <v>628</v>
      </c>
      <c r="F397" s="1" t="s">
        <v>629</v>
      </c>
      <c r="G397" s="1" t="s">
        <v>1003</v>
      </c>
      <c r="H397" s="1" t="s">
        <v>995</v>
      </c>
      <c r="I397" s="1">
        <v>29</v>
      </c>
      <c r="J397" s="2">
        <v>39.25</v>
      </c>
      <c r="K397" s="2">
        <v>39.245126999999997</v>
      </c>
      <c r="L397" s="2">
        <v>28.5</v>
      </c>
      <c r="M397" s="2">
        <v>28.5</v>
      </c>
      <c r="N397" s="1" t="s">
        <v>45</v>
      </c>
      <c r="O397" s="2">
        <v>1.377022</v>
      </c>
      <c r="P397" s="3">
        <f t="shared" si="12"/>
        <v>28.5</v>
      </c>
      <c r="Q397" s="3" t="str">
        <f t="shared" si="13"/>
        <v>20251215M1328.5</v>
      </c>
      <c r="R397" t="s">
        <v>631</v>
      </c>
    </row>
    <row r="398" spans="1:20" hidden="1">
      <c r="A398" t="s">
        <v>29</v>
      </c>
      <c r="B398" s="1" t="s">
        <v>504</v>
      </c>
      <c r="C398" s="1" t="s">
        <v>69</v>
      </c>
      <c r="D398" s="1" t="s">
        <v>1004</v>
      </c>
      <c r="E398" s="1" t="s">
        <v>334</v>
      </c>
      <c r="F398" s="1" t="s">
        <v>335</v>
      </c>
      <c r="G398" s="1" t="s">
        <v>1005</v>
      </c>
      <c r="H398" s="1" t="s">
        <v>1006</v>
      </c>
      <c r="I398" s="1">
        <v>28</v>
      </c>
      <c r="J398" s="2">
        <v>1794.6</v>
      </c>
      <c r="K398" s="2">
        <v>1794.59893336</v>
      </c>
      <c r="L398" s="2">
        <v>1278.32</v>
      </c>
      <c r="M398" s="2">
        <v>1278.32</v>
      </c>
      <c r="N398" s="1" t="s">
        <v>45</v>
      </c>
      <c r="O398" s="2">
        <v>1.4038729999999999</v>
      </c>
      <c r="P398" s="3">
        <f t="shared" si="12"/>
        <v>1278.32</v>
      </c>
      <c r="Q398" s="3" t="str">
        <f t="shared" si="13"/>
        <v>29084335721278.32</v>
      </c>
      <c r="R398" t="s">
        <v>91</v>
      </c>
      <c r="S398" t="s">
        <v>60</v>
      </c>
      <c r="T398" t="s">
        <v>102</v>
      </c>
    </row>
    <row r="399" spans="1:20" hidden="1">
      <c r="A399" t="s">
        <v>29</v>
      </c>
      <c r="B399" s="1" t="s">
        <v>504</v>
      </c>
      <c r="C399" s="1" t="s">
        <v>69</v>
      </c>
      <c r="D399" s="1" t="s">
        <v>1007</v>
      </c>
      <c r="E399" s="1" t="s">
        <v>334</v>
      </c>
      <c r="F399" s="1" t="s">
        <v>335</v>
      </c>
      <c r="G399" s="1" t="s">
        <v>1008</v>
      </c>
      <c r="H399" s="1" t="s">
        <v>1006</v>
      </c>
      <c r="I399" s="1">
        <v>28</v>
      </c>
      <c r="J399" s="2">
        <v>140.84</v>
      </c>
      <c r="K399" s="2">
        <v>140.83653935999999</v>
      </c>
      <c r="L399" s="2">
        <v>100.32</v>
      </c>
      <c r="M399" s="2">
        <v>100.32</v>
      </c>
      <c r="N399" s="1" t="s">
        <v>45</v>
      </c>
      <c r="O399" s="2">
        <v>1.4038729999999999</v>
      </c>
      <c r="P399" s="3">
        <f t="shared" si="12"/>
        <v>100.32</v>
      </c>
      <c r="Q399" s="3" t="str">
        <f t="shared" si="13"/>
        <v>2908433574100.32</v>
      </c>
      <c r="R399" t="s">
        <v>91</v>
      </c>
      <c r="S399" t="s">
        <v>60</v>
      </c>
      <c r="T399" t="s">
        <v>102</v>
      </c>
    </row>
    <row r="400" spans="1:20" hidden="1">
      <c r="A400" t="s">
        <v>29</v>
      </c>
      <c r="B400" s="1" t="s">
        <v>504</v>
      </c>
      <c r="C400" s="1" t="s">
        <v>69</v>
      </c>
      <c r="D400" s="1" t="s">
        <v>1009</v>
      </c>
      <c r="E400" s="1" t="s">
        <v>334</v>
      </c>
      <c r="F400" s="1" t="s">
        <v>335</v>
      </c>
      <c r="G400" s="1" t="s">
        <v>1010</v>
      </c>
      <c r="H400" s="1" t="s">
        <v>1006</v>
      </c>
      <c r="I400" s="1">
        <v>28</v>
      </c>
      <c r="J400" s="2">
        <v>3175.31</v>
      </c>
      <c r="K400" s="2">
        <v>3175.3080288599999</v>
      </c>
      <c r="L400" s="2">
        <v>2261.8200000000002</v>
      </c>
      <c r="M400" s="2">
        <v>2261.8200000000002</v>
      </c>
      <c r="N400" s="1" t="s">
        <v>45</v>
      </c>
      <c r="O400" s="2">
        <v>1.4038729999999999</v>
      </c>
      <c r="P400" s="3">
        <f t="shared" si="12"/>
        <v>2261.8200000000002</v>
      </c>
      <c r="Q400" s="3" t="str">
        <f t="shared" si="13"/>
        <v>29084338712261.82</v>
      </c>
      <c r="R400" t="s">
        <v>91</v>
      </c>
      <c r="S400" t="s">
        <v>60</v>
      </c>
      <c r="T400" t="s">
        <v>102</v>
      </c>
    </row>
    <row r="401" spans="1:20" hidden="1">
      <c r="A401" t="s">
        <v>29</v>
      </c>
      <c r="B401" s="1" t="s">
        <v>504</v>
      </c>
      <c r="C401" s="1" t="s">
        <v>69</v>
      </c>
      <c r="D401" s="1" t="s">
        <v>1011</v>
      </c>
      <c r="E401" s="1" t="s">
        <v>334</v>
      </c>
      <c r="F401" s="1" t="s">
        <v>335</v>
      </c>
      <c r="G401" s="1" t="s">
        <v>1012</v>
      </c>
      <c r="H401" s="1" t="s">
        <v>1006</v>
      </c>
      <c r="I401" s="1">
        <v>28</v>
      </c>
      <c r="J401" s="2">
        <v>175.48</v>
      </c>
      <c r="K401" s="2">
        <v>175.48412500000001</v>
      </c>
      <c r="L401" s="2">
        <v>125</v>
      </c>
      <c r="M401" s="2">
        <v>125</v>
      </c>
      <c r="N401" s="1" t="s">
        <v>45</v>
      </c>
      <c r="O401" s="2">
        <v>1.4038729999999999</v>
      </c>
      <c r="P401" s="3">
        <f t="shared" si="12"/>
        <v>125</v>
      </c>
      <c r="Q401" s="3" t="str">
        <f t="shared" si="13"/>
        <v>2908433930125</v>
      </c>
      <c r="R401" t="s">
        <v>91</v>
      </c>
      <c r="S401" t="s">
        <v>60</v>
      </c>
      <c r="T401" t="s">
        <v>102</v>
      </c>
    </row>
    <row r="402" spans="1:20" hidden="1">
      <c r="A402" t="s">
        <v>29</v>
      </c>
      <c r="B402" s="1" t="s">
        <v>504</v>
      </c>
      <c r="C402" s="1" t="s">
        <v>69</v>
      </c>
      <c r="D402" s="1" t="s">
        <v>1013</v>
      </c>
      <c r="E402" s="1" t="s">
        <v>334</v>
      </c>
      <c r="F402" s="1" t="s">
        <v>335</v>
      </c>
      <c r="G402" s="1" t="s">
        <v>1014</v>
      </c>
      <c r="H402" s="1" t="s">
        <v>1006</v>
      </c>
      <c r="I402" s="1">
        <v>28</v>
      </c>
      <c r="J402" s="2">
        <v>3313.36</v>
      </c>
      <c r="K402" s="2">
        <v>3313.3648996799998</v>
      </c>
      <c r="L402" s="2">
        <v>2360.16</v>
      </c>
      <c r="M402" s="2">
        <v>2360.16</v>
      </c>
      <c r="N402" s="1" t="s">
        <v>45</v>
      </c>
      <c r="O402" s="2">
        <v>1.4038729999999999</v>
      </c>
      <c r="P402" s="3">
        <f t="shared" si="12"/>
        <v>2360.16</v>
      </c>
      <c r="Q402" s="3" t="str">
        <f t="shared" si="13"/>
        <v>29084340702360.16</v>
      </c>
      <c r="R402" t="s">
        <v>91</v>
      </c>
      <c r="S402" t="s">
        <v>60</v>
      </c>
      <c r="T402" t="s">
        <v>102</v>
      </c>
    </row>
    <row r="403" spans="1:20" hidden="1">
      <c r="A403" t="s">
        <v>29</v>
      </c>
      <c r="B403" s="1" t="s">
        <v>504</v>
      </c>
      <c r="C403" s="1" t="s">
        <v>69</v>
      </c>
      <c r="D403" s="1" t="s">
        <v>1015</v>
      </c>
      <c r="E403" s="1" t="s">
        <v>334</v>
      </c>
      <c r="F403" s="1" t="s">
        <v>335</v>
      </c>
      <c r="G403" s="1" t="s">
        <v>786</v>
      </c>
      <c r="H403" s="1" t="s">
        <v>1006</v>
      </c>
      <c r="I403" s="1">
        <v>28</v>
      </c>
      <c r="J403" s="2">
        <v>244.77</v>
      </c>
      <c r="K403" s="2">
        <v>244.76525755</v>
      </c>
      <c r="L403" s="2">
        <v>174.35</v>
      </c>
      <c r="M403" s="2">
        <v>174.35</v>
      </c>
      <c r="N403" s="1" t="s">
        <v>45</v>
      </c>
      <c r="O403" s="2">
        <v>1.4038729999999999</v>
      </c>
      <c r="P403" s="3">
        <f t="shared" si="12"/>
        <v>174.35</v>
      </c>
      <c r="Q403" s="3" t="str">
        <f t="shared" si="13"/>
        <v>2908434283174.35</v>
      </c>
      <c r="R403" t="s">
        <v>91</v>
      </c>
      <c r="S403" t="s">
        <v>60</v>
      </c>
      <c r="T403" t="s">
        <v>102</v>
      </c>
    </row>
    <row r="404" spans="1:20" hidden="1">
      <c r="A404" t="s">
        <v>29</v>
      </c>
      <c r="B404" s="1" t="s">
        <v>1006</v>
      </c>
      <c r="C404" s="1" t="s">
        <v>69</v>
      </c>
      <c r="D404" s="1" t="s">
        <v>1016</v>
      </c>
      <c r="E404" s="1" t="s">
        <v>1017</v>
      </c>
      <c r="F404" s="1" t="s">
        <v>1018</v>
      </c>
      <c r="G404" s="1" t="s">
        <v>1019</v>
      </c>
      <c r="H404" s="1" t="s">
        <v>1006</v>
      </c>
      <c r="I404" s="1">
        <v>28</v>
      </c>
      <c r="J404" s="2">
        <v>18382.439999999999</v>
      </c>
      <c r="K404" s="2">
        <v>18382.439999999999</v>
      </c>
      <c r="L404" s="2">
        <v>18382.439999999999</v>
      </c>
      <c r="M404" s="2">
        <v>18382.439999999999</v>
      </c>
      <c r="N404" s="1" t="s">
        <v>36</v>
      </c>
      <c r="O404" s="2">
        <v>1</v>
      </c>
      <c r="P404" s="3">
        <f t="shared" si="12"/>
        <v>13786.829999999998</v>
      </c>
      <c r="Q404" s="3" t="str">
        <f t="shared" si="13"/>
        <v>ARHD0098450218382.44</v>
      </c>
    </row>
    <row r="405" spans="1:20" hidden="1">
      <c r="A405" t="s">
        <v>29</v>
      </c>
      <c r="B405" s="1" t="s">
        <v>1006</v>
      </c>
      <c r="C405" s="1" t="s">
        <v>69</v>
      </c>
      <c r="D405" s="1" t="s">
        <v>1020</v>
      </c>
      <c r="E405" s="1" t="s">
        <v>1021</v>
      </c>
      <c r="F405" s="1" t="s">
        <v>1022</v>
      </c>
      <c r="G405" s="1" t="s">
        <v>1023</v>
      </c>
      <c r="H405" s="1" t="s">
        <v>1006</v>
      </c>
      <c r="I405" s="1">
        <v>28</v>
      </c>
      <c r="J405" s="2">
        <v>1741.1</v>
      </c>
      <c r="K405" s="2">
        <v>1741.099843</v>
      </c>
      <c r="L405" s="2">
        <v>1264.7</v>
      </c>
      <c r="M405" s="2">
        <v>1264.7</v>
      </c>
      <c r="N405" s="1" t="s">
        <v>45</v>
      </c>
      <c r="O405" s="2">
        <v>1.37669</v>
      </c>
      <c r="P405" s="3">
        <f t="shared" si="12"/>
        <v>1264.7</v>
      </c>
      <c r="Q405" s="3" t="str">
        <f t="shared" si="13"/>
        <v>3388361264.7</v>
      </c>
      <c r="R405" t="s">
        <v>74</v>
      </c>
      <c r="S405" t="s">
        <v>1024</v>
      </c>
    </row>
    <row r="406" spans="1:20" hidden="1">
      <c r="A406" t="s">
        <v>29</v>
      </c>
      <c r="B406" s="1" t="s">
        <v>1006</v>
      </c>
      <c r="C406" s="1" t="s">
        <v>69</v>
      </c>
      <c r="D406" s="1" t="s">
        <v>1025</v>
      </c>
      <c r="E406" s="1" t="s">
        <v>889</v>
      </c>
      <c r="F406" s="1" t="s">
        <v>890</v>
      </c>
      <c r="G406" s="1" t="s">
        <v>1026</v>
      </c>
      <c r="H406" s="1" t="s">
        <v>1006</v>
      </c>
      <c r="I406" s="1">
        <v>28</v>
      </c>
      <c r="J406" s="2">
        <v>2267.6799999999998</v>
      </c>
      <c r="K406" s="2">
        <v>2267.6799999999998</v>
      </c>
      <c r="L406" s="2">
        <v>2267.6799999999998</v>
      </c>
      <c r="M406" s="2">
        <v>2267.6799999999998</v>
      </c>
      <c r="N406" s="1" t="s">
        <v>36</v>
      </c>
      <c r="O406" s="2">
        <v>1</v>
      </c>
      <c r="P406" s="3">
        <f t="shared" si="12"/>
        <v>1700.7599999999998</v>
      </c>
      <c r="Q406" s="3" t="str">
        <f t="shared" si="13"/>
        <v>146842267.68</v>
      </c>
      <c r="R406" t="s">
        <v>74</v>
      </c>
      <c r="S406" t="s">
        <v>155</v>
      </c>
    </row>
    <row r="407" spans="1:20" hidden="1">
      <c r="A407" t="s">
        <v>29</v>
      </c>
      <c r="B407" s="1" t="s">
        <v>515</v>
      </c>
      <c r="C407" s="1" t="s">
        <v>69</v>
      </c>
      <c r="D407" s="1" t="s">
        <v>1027</v>
      </c>
      <c r="E407" s="1" t="s">
        <v>71</v>
      </c>
      <c r="F407" s="1" t="s">
        <v>72</v>
      </c>
      <c r="G407" s="1" t="s">
        <v>943</v>
      </c>
      <c r="H407" s="1" t="s">
        <v>1028</v>
      </c>
      <c r="I407" s="1">
        <v>27</v>
      </c>
      <c r="J407" s="2">
        <v>1731029.7</v>
      </c>
      <c r="K407" s="2">
        <v>1731029.6963287999</v>
      </c>
      <c r="L407" s="2">
        <v>1231670.8999999999</v>
      </c>
      <c r="M407" s="2">
        <v>1231670.8999999999</v>
      </c>
      <c r="N407" s="1" t="s">
        <v>45</v>
      </c>
      <c r="O407" s="2">
        <v>1.405432</v>
      </c>
      <c r="P407" s="3">
        <f t="shared" si="12"/>
        <v>1231670.8999999999</v>
      </c>
      <c r="Q407" s="3" t="str">
        <f t="shared" si="13"/>
        <v>919091761231670.9</v>
      </c>
      <c r="R407" t="s">
        <v>74</v>
      </c>
      <c r="S407" t="s">
        <v>60</v>
      </c>
      <c r="T407" t="s">
        <v>102</v>
      </c>
    </row>
    <row r="408" spans="1:20" hidden="1">
      <c r="A408" t="s">
        <v>29</v>
      </c>
      <c r="B408" s="1" t="s">
        <v>515</v>
      </c>
      <c r="C408" s="1" t="s">
        <v>69</v>
      </c>
      <c r="D408" s="1" t="s">
        <v>1029</v>
      </c>
      <c r="E408" s="1" t="s">
        <v>616</v>
      </c>
      <c r="F408" s="1" t="s">
        <v>222</v>
      </c>
      <c r="G408" s="1" t="s">
        <v>1030</v>
      </c>
      <c r="H408" s="1" t="s">
        <v>1028</v>
      </c>
      <c r="I408" s="1">
        <v>27</v>
      </c>
      <c r="J408" s="2">
        <v>1605</v>
      </c>
      <c r="K408" s="2">
        <v>1605</v>
      </c>
      <c r="L408" s="2">
        <v>1605</v>
      </c>
      <c r="M408" s="2">
        <v>1605</v>
      </c>
      <c r="N408" s="1" t="s">
        <v>36</v>
      </c>
      <c r="O408" s="2">
        <v>1</v>
      </c>
      <c r="P408" s="3">
        <f t="shared" si="12"/>
        <v>1203.75</v>
      </c>
      <c r="Q408" s="3" t="str">
        <f t="shared" si="13"/>
        <v>FGL00047901605</v>
      </c>
      <c r="R408" t="s">
        <v>758</v>
      </c>
      <c r="S408" t="s">
        <v>60</v>
      </c>
    </row>
    <row r="409" spans="1:20" hidden="1">
      <c r="A409" t="s">
        <v>29</v>
      </c>
      <c r="B409" s="1" t="s">
        <v>515</v>
      </c>
      <c r="C409" s="1" t="s">
        <v>69</v>
      </c>
      <c r="D409" s="1" t="s">
        <v>1031</v>
      </c>
      <c r="E409" s="1" t="s">
        <v>334</v>
      </c>
      <c r="F409" s="1" t="s">
        <v>335</v>
      </c>
      <c r="G409" s="1" t="s">
        <v>1032</v>
      </c>
      <c r="H409" s="1" t="s">
        <v>1028</v>
      </c>
      <c r="I409" s="1">
        <v>27</v>
      </c>
      <c r="J409" s="2">
        <v>34.880000000000003</v>
      </c>
      <c r="K409" s="2">
        <v>34.882822240000003</v>
      </c>
      <c r="L409" s="2">
        <v>24.82</v>
      </c>
      <c r="M409" s="2">
        <v>24.82</v>
      </c>
      <c r="N409" s="1" t="s">
        <v>45</v>
      </c>
      <c r="O409" s="2">
        <v>1.405432</v>
      </c>
      <c r="P409" s="3">
        <f t="shared" si="12"/>
        <v>24.82</v>
      </c>
      <c r="Q409" s="3" t="str">
        <f t="shared" si="13"/>
        <v>290843507524.82</v>
      </c>
      <c r="R409" t="s">
        <v>91</v>
      </c>
      <c r="S409" t="s">
        <v>60</v>
      </c>
      <c r="T409" t="s">
        <v>102</v>
      </c>
    </row>
    <row r="410" spans="1:20" hidden="1">
      <c r="A410" t="s">
        <v>29</v>
      </c>
      <c r="B410" s="1" t="s">
        <v>515</v>
      </c>
      <c r="C410" s="1" t="s">
        <v>69</v>
      </c>
      <c r="D410" s="1" t="s">
        <v>1033</v>
      </c>
      <c r="E410" s="1" t="s">
        <v>334</v>
      </c>
      <c r="F410" s="1" t="s">
        <v>335</v>
      </c>
      <c r="G410" s="1" t="s">
        <v>1034</v>
      </c>
      <c r="H410" s="1" t="s">
        <v>1028</v>
      </c>
      <c r="I410" s="1">
        <v>27</v>
      </c>
      <c r="J410" s="2">
        <v>273.76</v>
      </c>
      <c r="K410" s="2">
        <v>273.76409927999998</v>
      </c>
      <c r="L410" s="2">
        <v>194.79</v>
      </c>
      <c r="M410" s="2">
        <v>194.79</v>
      </c>
      <c r="N410" s="1" t="s">
        <v>45</v>
      </c>
      <c r="O410" s="2">
        <v>1.405432</v>
      </c>
      <c r="P410" s="3">
        <f t="shared" si="12"/>
        <v>194.79</v>
      </c>
      <c r="Q410" s="3" t="str">
        <f t="shared" si="13"/>
        <v>2908435079194.79</v>
      </c>
      <c r="R410" t="s">
        <v>91</v>
      </c>
      <c r="S410" t="s">
        <v>60</v>
      </c>
      <c r="T410" t="s">
        <v>102</v>
      </c>
    </row>
    <row r="411" spans="1:20" hidden="1">
      <c r="A411" t="s">
        <v>29</v>
      </c>
      <c r="B411" s="1" t="s">
        <v>515</v>
      </c>
      <c r="C411" s="1" t="s">
        <v>69</v>
      </c>
      <c r="D411" s="1" t="s">
        <v>1035</v>
      </c>
      <c r="E411" s="1" t="s">
        <v>334</v>
      </c>
      <c r="F411" s="1" t="s">
        <v>335</v>
      </c>
      <c r="G411" s="1" t="s">
        <v>1034</v>
      </c>
      <c r="H411" s="1" t="s">
        <v>1028</v>
      </c>
      <c r="I411" s="1">
        <v>27</v>
      </c>
      <c r="J411" s="2">
        <v>86.24</v>
      </c>
      <c r="K411" s="2">
        <v>86.237307520000002</v>
      </c>
      <c r="L411" s="2">
        <v>61.36</v>
      </c>
      <c r="M411" s="2">
        <v>61.36</v>
      </c>
      <c r="N411" s="1" t="s">
        <v>45</v>
      </c>
      <c r="O411" s="2">
        <v>1.405432</v>
      </c>
      <c r="P411" s="3">
        <f t="shared" si="12"/>
        <v>61.36</v>
      </c>
      <c r="Q411" s="3" t="str">
        <f t="shared" si="13"/>
        <v>290843518961.36</v>
      </c>
      <c r="R411" t="s">
        <v>91</v>
      </c>
      <c r="S411" t="s">
        <v>60</v>
      </c>
      <c r="T411" t="s">
        <v>102</v>
      </c>
    </row>
    <row r="412" spans="1:20" hidden="1">
      <c r="A412" t="s">
        <v>29</v>
      </c>
      <c r="B412" s="1" t="s">
        <v>515</v>
      </c>
      <c r="C412" s="1" t="s">
        <v>69</v>
      </c>
      <c r="D412" s="1" t="s">
        <v>1036</v>
      </c>
      <c r="E412" s="1" t="s">
        <v>334</v>
      </c>
      <c r="F412" s="1" t="s">
        <v>335</v>
      </c>
      <c r="G412" s="1" t="s">
        <v>533</v>
      </c>
      <c r="H412" s="1" t="s">
        <v>1028</v>
      </c>
      <c r="I412" s="1">
        <v>27</v>
      </c>
      <c r="J412" s="2">
        <v>151.21</v>
      </c>
      <c r="K412" s="2">
        <v>151.21042887999999</v>
      </c>
      <c r="L412" s="2">
        <v>107.59</v>
      </c>
      <c r="M412" s="2">
        <v>107.59</v>
      </c>
      <c r="N412" s="1" t="s">
        <v>45</v>
      </c>
      <c r="O412" s="2">
        <v>1.405432</v>
      </c>
      <c r="P412" s="3">
        <f t="shared" si="12"/>
        <v>107.59</v>
      </c>
      <c r="Q412" s="3" t="str">
        <f t="shared" si="13"/>
        <v>2908435559107.59</v>
      </c>
      <c r="R412" t="s">
        <v>91</v>
      </c>
      <c r="S412" t="s">
        <v>60</v>
      </c>
      <c r="T412" t="s">
        <v>102</v>
      </c>
    </row>
    <row r="413" spans="1:20" hidden="1">
      <c r="A413" t="s">
        <v>29</v>
      </c>
      <c r="B413" s="1" t="s">
        <v>515</v>
      </c>
      <c r="C413" s="1" t="s">
        <v>69</v>
      </c>
      <c r="D413" s="1" t="s">
        <v>1037</v>
      </c>
      <c r="E413" s="1" t="s">
        <v>334</v>
      </c>
      <c r="F413" s="1" t="s">
        <v>335</v>
      </c>
      <c r="G413" s="1" t="s">
        <v>877</v>
      </c>
      <c r="H413" s="1" t="s">
        <v>1028</v>
      </c>
      <c r="I413" s="1">
        <v>27</v>
      </c>
      <c r="J413" s="2">
        <v>264.19</v>
      </c>
      <c r="K413" s="2">
        <v>264.19310736</v>
      </c>
      <c r="L413" s="2">
        <v>187.98</v>
      </c>
      <c r="M413" s="2">
        <v>187.98</v>
      </c>
      <c r="N413" s="1" t="s">
        <v>45</v>
      </c>
      <c r="O413" s="2">
        <v>1.405432</v>
      </c>
      <c r="P413" s="3">
        <f t="shared" si="12"/>
        <v>187.98</v>
      </c>
      <c r="Q413" s="3" t="str">
        <f t="shared" si="13"/>
        <v>2908436536187.98</v>
      </c>
      <c r="R413" t="s">
        <v>91</v>
      </c>
      <c r="S413" t="s">
        <v>60</v>
      </c>
      <c r="T413" t="s">
        <v>102</v>
      </c>
    </row>
    <row r="414" spans="1:20" hidden="1">
      <c r="A414" t="s">
        <v>29</v>
      </c>
      <c r="B414" s="1" t="s">
        <v>515</v>
      </c>
      <c r="C414" s="1" t="s">
        <v>69</v>
      </c>
      <c r="D414" s="1" t="s">
        <v>1038</v>
      </c>
      <c r="E414" s="1" t="s">
        <v>584</v>
      </c>
      <c r="F414" s="1" t="s">
        <v>585</v>
      </c>
      <c r="G414" s="1" t="s">
        <v>752</v>
      </c>
      <c r="H414" s="1" t="s">
        <v>1028</v>
      </c>
      <c r="I414" s="1">
        <v>27</v>
      </c>
      <c r="J414" s="2">
        <v>146.28</v>
      </c>
      <c r="K414" s="2">
        <v>146.28</v>
      </c>
      <c r="L414" s="2">
        <v>146.28</v>
      </c>
      <c r="M414" s="2">
        <v>146.28</v>
      </c>
      <c r="N414" s="1" t="s">
        <v>36</v>
      </c>
      <c r="O414" s="2">
        <v>1</v>
      </c>
      <c r="P414" s="3">
        <f t="shared" si="12"/>
        <v>109.71000000000001</v>
      </c>
      <c r="Q414" s="3" t="str">
        <f t="shared" si="13"/>
        <v>7726459146.28</v>
      </c>
      <c r="R414" t="s">
        <v>758</v>
      </c>
      <c r="S414" t="s">
        <v>60</v>
      </c>
    </row>
    <row r="415" spans="1:20" hidden="1">
      <c r="A415" t="s">
        <v>29</v>
      </c>
      <c r="B415" s="1" t="s">
        <v>515</v>
      </c>
      <c r="C415" s="1" t="s">
        <v>69</v>
      </c>
      <c r="D415" s="1" t="s">
        <v>1039</v>
      </c>
      <c r="E415" s="1" t="s">
        <v>580</v>
      </c>
      <c r="F415" s="1" t="s">
        <v>581</v>
      </c>
      <c r="G415" s="1" t="s">
        <v>1040</v>
      </c>
      <c r="H415" s="1" t="s">
        <v>1028</v>
      </c>
      <c r="I415" s="1">
        <v>27</v>
      </c>
      <c r="J415" s="2">
        <v>14637.71</v>
      </c>
      <c r="K415" s="2">
        <v>14637.7148232</v>
      </c>
      <c r="L415" s="2">
        <v>10415.1</v>
      </c>
      <c r="M415" s="2">
        <v>10415.1</v>
      </c>
      <c r="N415" s="1" t="s">
        <v>45</v>
      </c>
      <c r="O415" s="2">
        <v>1.405432</v>
      </c>
      <c r="P415" s="3">
        <f t="shared" si="12"/>
        <v>10415.1</v>
      </c>
      <c r="Q415" s="3" t="str">
        <f t="shared" si="13"/>
        <v>13112510415.1</v>
      </c>
      <c r="R415" t="s">
        <v>74</v>
      </c>
      <c r="S415" t="s">
        <v>60</v>
      </c>
      <c r="T415" t="s">
        <v>102</v>
      </c>
    </row>
    <row r="416" spans="1:20" hidden="1">
      <c r="A416" t="s">
        <v>29</v>
      </c>
      <c r="B416" s="1" t="s">
        <v>515</v>
      </c>
      <c r="C416" s="1" t="s">
        <v>69</v>
      </c>
      <c r="D416" s="1" t="s">
        <v>1041</v>
      </c>
      <c r="E416" s="1" t="s">
        <v>580</v>
      </c>
      <c r="F416" s="1" t="s">
        <v>581</v>
      </c>
      <c r="G416" s="1" t="s">
        <v>1040</v>
      </c>
      <c r="H416" s="1" t="s">
        <v>1028</v>
      </c>
      <c r="I416" s="1">
        <v>27</v>
      </c>
      <c r="J416" s="2">
        <v>443522.63</v>
      </c>
      <c r="K416" s="2">
        <v>443522.63265407999</v>
      </c>
      <c r="L416" s="2">
        <v>315577.44</v>
      </c>
      <c r="M416" s="2">
        <v>315577.44</v>
      </c>
      <c r="N416" s="1" t="s">
        <v>45</v>
      </c>
      <c r="O416" s="2">
        <v>1.405432</v>
      </c>
      <c r="P416" s="3">
        <f t="shared" si="12"/>
        <v>315577.44</v>
      </c>
      <c r="Q416" s="3" t="str">
        <f t="shared" si="13"/>
        <v>131126315577.44</v>
      </c>
      <c r="R416" t="s">
        <v>74</v>
      </c>
      <c r="S416" t="s">
        <v>60</v>
      </c>
      <c r="T416" t="s">
        <v>102</v>
      </c>
    </row>
    <row r="417" spans="1:20" hidden="1">
      <c r="A417" t="s">
        <v>29</v>
      </c>
      <c r="B417" s="1" t="s">
        <v>515</v>
      </c>
      <c r="C417" s="1" t="s">
        <v>69</v>
      </c>
      <c r="D417" s="1" t="s">
        <v>1042</v>
      </c>
      <c r="E417" s="1" t="s">
        <v>471</v>
      </c>
      <c r="F417" s="1" t="s">
        <v>472</v>
      </c>
      <c r="G417" s="1" t="s">
        <v>473</v>
      </c>
      <c r="H417" s="1" t="s">
        <v>1028</v>
      </c>
      <c r="I417" s="1">
        <v>27</v>
      </c>
      <c r="J417" s="2">
        <v>52545</v>
      </c>
      <c r="K417" s="2">
        <v>52545</v>
      </c>
      <c r="L417" s="2">
        <v>52545</v>
      </c>
      <c r="M417" s="2">
        <v>52545</v>
      </c>
      <c r="N417" s="1" t="s">
        <v>36</v>
      </c>
      <c r="O417" s="2">
        <v>1</v>
      </c>
      <c r="P417" s="3">
        <f t="shared" si="12"/>
        <v>39408.75</v>
      </c>
      <c r="Q417" s="3" t="str">
        <f t="shared" si="13"/>
        <v>D5442952545</v>
      </c>
      <c r="R417" t="s">
        <v>475</v>
      </c>
      <c r="S417" t="s">
        <v>60</v>
      </c>
      <c r="T417" t="s">
        <v>102</v>
      </c>
    </row>
    <row r="418" spans="1:20" hidden="1">
      <c r="A418" t="s">
        <v>29</v>
      </c>
      <c r="B418" s="1" t="s">
        <v>515</v>
      </c>
      <c r="C418" s="1" t="s">
        <v>69</v>
      </c>
      <c r="D418" s="1" t="s">
        <v>1043</v>
      </c>
      <c r="E418" s="1" t="s">
        <v>471</v>
      </c>
      <c r="F418" s="1" t="s">
        <v>472</v>
      </c>
      <c r="G418" s="1" t="s">
        <v>1044</v>
      </c>
      <c r="H418" s="1" t="s">
        <v>1028</v>
      </c>
      <c r="I418" s="1">
        <v>27</v>
      </c>
      <c r="J418" s="2">
        <v>4101.8999999999996</v>
      </c>
      <c r="K418" s="2">
        <v>4101.8999999999996</v>
      </c>
      <c r="L418" s="2">
        <v>4101.8999999999996</v>
      </c>
      <c r="M418" s="2">
        <v>4101.8999999999996</v>
      </c>
      <c r="N418" s="1" t="s">
        <v>36</v>
      </c>
      <c r="O418" s="2">
        <v>1</v>
      </c>
      <c r="P418" s="3">
        <f t="shared" si="12"/>
        <v>3076.4249999999997</v>
      </c>
      <c r="Q418" s="3" t="str">
        <f t="shared" si="13"/>
        <v>D544304101.9</v>
      </c>
      <c r="R418" t="s">
        <v>475</v>
      </c>
      <c r="S418" t="s">
        <v>60</v>
      </c>
      <c r="T418" t="s">
        <v>102</v>
      </c>
    </row>
    <row r="419" spans="1:20" hidden="1">
      <c r="A419" t="s">
        <v>29</v>
      </c>
      <c r="B419" s="1" t="s">
        <v>515</v>
      </c>
      <c r="C419" s="1" t="s">
        <v>69</v>
      </c>
      <c r="D419" s="1" t="s">
        <v>1045</v>
      </c>
      <c r="E419" s="1" t="s">
        <v>471</v>
      </c>
      <c r="F419" s="1" t="s">
        <v>472</v>
      </c>
      <c r="G419" s="1" t="s">
        <v>1046</v>
      </c>
      <c r="H419" s="1" t="s">
        <v>1028</v>
      </c>
      <c r="I419" s="1">
        <v>27</v>
      </c>
      <c r="J419" s="2">
        <v>1243</v>
      </c>
      <c r="K419" s="2">
        <v>1243</v>
      </c>
      <c r="L419" s="2">
        <v>1243</v>
      </c>
      <c r="M419" s="2">
        <v>1243</v>
      </c>
      <c r="N419" s="1" t="s">
        <v>36</v>
      </c>
      <c r="O419" s="2">
        <v>1</v>
      </c>
      <c r="P419" s="3">
        <f t="shared" si="12"/>
        <v>932.25</v>
      </c>
      <c r="Q419" s="3" t="str">
        <f t="shared" si="13"/>
        <v>D544311243</v>
      </c>
      <c r="R419" t="s">
        <v>475</v>
      </c>
      <c r="S419" t="s">
        <v>60</v>
      </c>
    </row>
    <row r="420" spans="1:20" hidden="1">
      <c r="A420" t="s">
        <v>29</v>
      </c>
      <c r="B420" s="1" t="s">
        <v>710</v>
      </c>
      <c r="C420" s="1" t="s">
        <v>69</v>
      </c>
      <c r="D420" s="1" t="s">
        <v>1047</v>
      </c>
      <c r="E420" s="1" t="s">
        <v>156</v>
      </c>
      <c r="F420" s="1" t="s">
        <v>156</v>
      </c>
      <c r="G420" s="1" t="s">
        <v>713</v>
      </c>
      <c r="H420" s="1" t="s">
        <v>1028</v>
      </c>
      <c r="I420" s="1">
        <v>27</v>
      </c>
      <c r="J420" s="2">
        <v>7724.11</v>
      </c>
      <c r="K420" s="2">
        <v>7724.11</v>
      </c>
      <c r="L420" s="2">
        <v>7724.11</v>
      </c>
      <c r="M420" s="2">
        <v>7724.11</v>
      </c>
      <c r="N420" s="1" t="s">
        <v>36</v>
      </c>
      <c r="O420" s="2">
        <v>1</v>
      </c>
      <c r="P420" s="3">
        <f t="shared" si="12"/>
        <v>5793.0824999999995</v>
      </c>
      <c r="Q420" s="3" t="str">
        <f t="shared" si="13"/>
        <v>2-701-206227724.11</v>
      </c>
      <c r="R420" t="s">
        <v>758</v>
      </c>
      <c r="S420" t="s">
        <v>60</v>
      </c>
    </row>
    <row r="421" spans="1:20" hidden="1">
      <c r="A421" t="s">
        <v>29</v>
      </c>
      <c r="B421" s="1" t="s">
        <v>710</v>
      </c>
      <c r="C421" s="1" t="s">
        <v>69</v>
      </c>
      <c r="D421" s="1" t="s">
        <v>1048</v>
      </c>
      <c r="E421" s="1" t="s">
        <v>156</v>
      </c>
      <c r="F421" s="1" t="s">
        <v>156</v>
      </c>
      <c r="G421" s="1" t="s">
        <v>1049</v>
      </c>
      <c r="H421" s="1" t="s">
        <v>1028</v>
      </c>
      <c r="I421" s="1">
        <v>27</v>
      </c>
      <c r="J421" s="2">
        <v>82.75</v>
      </c>
      <c r="K421" s="2">
        <v>82.75</v>
      </c>
      <c r="L421" s="2">
        <v>82.75</v>
      </c>
      <c r="M421" s="2">
        <v>82.75</v>
      </c>
      <c r="N421" s="1" t="s">
        <v>36</v>
      </c>
      <c r="O421" s="2">
        <v>1</v>
      </c>
      <c r="P421" s="3">
        <f t="shared" si="12"/>
        <v>62.0625</v>
      </c>
      <c r="Q421" s="3" t="str">
        <f t="shared" si="13"/>
        <v>2-700-9766682.75</v>
      </c>
    </row>
    <row r="422" spans="1:20" hidden="1">
      <c r="A422" t="s">
        <v>29</v>
      </c>
      <c r="B422" s="1" t="s">
        <v>710</v>
      </c>
      <c r="C422" s="1" t="s">
        <v>69</v>
      </c>
      <c r="D422" s="1" t="s">
        <v>1050</v>
      </c>
      <c r="E422" s="1" t="s">
        <v>156</v>
      </c>
      <c r="F422" s="1" t="s">
        <v>156</v>
      </c>
      <c r="G422" s="1" t="s">
        <v>1051</v>
      </c>
      <c r="H422" s="1" t="s">
        <v>1028</v>
      </c>
      <c r="I422" s="1">
        <v>27</v>
      </c>
      <c r="J422" s="2">
        <v>11100.23</v>
      </c>
      <c r="K422" s="2">
        <v>11100.23</v>
      </c>
      <c r="L422" s="2">
        <v>11100.23</v>
      </c>
      <c r="M422" s="2">
        <v>11100.23</v>
      </c>
      <c r="N422" s="1" t="s">
        <v>36</v>
      </c>
      <c r="O422" s="2">
        <v>1</v>
      </c>
      <c r="P422" s="3">
        <f t="shared" si="12"/>
        <v>8325.1725000000006</v>
      </c>
      <c r="Q422" s="3" t="str">
        <f t="shared" si="13"/>
        <v>2-700-7986311100.23</v>
      </c>
    </row>
    <row r="423" spans="1:20" hidden="1">
      <c r="A423" t="s">
        <v>29</v>
      </c>
      <c r="B423" s="1" t="s">
        <v>1028</v>
      </c>
      <c r="C423" s="1" t="s">
        <v>69</v>
      </c>
      <c r="D423" s="1" t="s">
        <v>1052</v>
      </c>
      <c r="E423" s="1" t="s">
        <v>889</v>
      </c>
      <c r="F423" s="1" t="s">
        <v>890</v>
      </c>
      <c r="G423" s="1" t="s">
        <v>891</v>
      </c>
      <c r="H423" s="1" t="s">
        <v>1028</v>
      </c>
      <c r="I423" s="1">
        <v>27</v>
      </c>
      <c r="J423" s="2">
        <v>13606.1</v>
      </c>
      <c r="K423" s="2">
        <v>13606.1</v>
      </c>
      <c r="L423" s="2">
        <v>13606.1</v>
      </c>
      <c r="M423" s="2">
        <v>13606.1</v>
      </c>
      <c r="N423" s="1" t="s">
        <v>36</v>
      </c>
      <c r="O423" s="2">
        <v>1</v>
      </c>
      <c r="P423" s="3">
        <f t="shared" si="12"/>
        <v>10204.575000000001</v>
      </c>
      <c r="Q423" s="3" t="str">
        <f t="shared" si="13"/>
        <v>1468613606.1</v>
      </c>
      <c r="R423" t="s">
        <v>74</v>
      </c>
      <c r="S423" t="s">
        <v>155</v>
      </c>
    </row>
    <row r="424" spans="1:20" hidden="1">
      <c r="A424" t="s">
        <v>29</v>
      </c>
      <c r="B424" s="1" t="s">
        <v>755</v>
      </c>
      <c r="C424" s="1" t="s">
        <v>69</v>
      </c>
      <c r="D424" s="1" t="s">
        <v>1053</v>
      </c>
      <c r="E424" s="1" t="s">
        <v>218</v>
      </c>
      <c r="F424" s="1" t="s">
        <v>58</v>
      </c>
      <c r="G424" s="1" t="s">
        <v>1054</v>
      </c>
      <c r="H424" s="1" t="s">
        <v>1055</v>
      </c>
      <c r="I424" s="1">
        <v>26</v>
      </c>
      <c r="J424" s="2">
        <v>63815.199999999997</v>
      </c>
      <c r="K424" s="2">
        <v>63815.199999999997</v>
      </c>
      <c r="L424" s="2">
        <v>63815.199999999997</v>
      </c>
      <c r="M424" s="2">
        <v>63815.199999999997</v>
      </c>
      <c r="N424" s="1" t="s">
        <v>36</v>
      </c>
      <c r="O424" s="2">
        <v>1</v>
      </c>
      <c r="P424" s="3">
        <f t="shared" si="12"/>
        <v>47861.399999999994</v>
      </c>
      <c r="Q424" s="3" t="str">
        <f t="shared" si="13"/>
        <v>IN06251118001963815.2</v>
      </c>
      <c r="R424" t="s">
        <v>59</v>
      </c>
      <c r="S424" t="s">
        <v>60</v>
      </c>
      <c r="T424" t="s">
        <v>102</v>
      </c>
    </row>
    <row r="425" spans="1:20" hidden="1">
      <c r="A425" t="s">
        <v>29</v>
      </c>
      <c r="B425" s="1" t="s">
        <v>755</v>
      </c>
      <c r="C425" s="1" t="s">
        <v>69</v>
      </c>
      <c r="D425" s="1" t="s">
        <v>1056</v>
      </c>
      <c r="E425" s="1" t="s">
        <v>334</v>
      </c>
      <c r="F425" s="1" t="s">
        <v>335</v>
      </c>
      <c r="G425" s="1" t="s">
        <v>1057</v>
      </c>
      <c r="H425" s="1" t="s">
        <v>1055</v>
      </c>
      <c r="I425" s="1">
        <v>26</v>
      </c>
      <c r="J425" s="2">
        <v>58791.01</v>
      </c>
      <c r="K425" s="2">
        <v>58791.012000000002</v>
      </c>
      <c r="L425" s="2">
        <v>42000</v>
      </c>
      <c r="M425" s="2">
        <v>42000</v>
      </c>
      <c r="N425" s="1" t="s">
        <v>45</v>
      </c>
      <c r="O425" s="2">
        <v>1.399786</v>
      </c>
      <c r="P425" s="3">
        <f t="shared" si="12"/>
        <v>42000</v>
      </c>
      <c r="Q425" s="3" t="str">
        <f t="shared" si="13"/>
        <v>190972802742000</v>
      </c>
      <c r="R425" t="s">
        <v>91</v>
      </c>
      <c r="S425" t="s">
        <v>60</v>
      </c>
      <c r="T425" t="s">
        <v>102</v>
      </c>
    </row>
    <row r="426" spans="1:20" hidden="1">
      <c r="A426" t="s">
        <v>29</v>
      </c>
      <c r="B426" s="1" t="s">
        <v>755</v>
      </c>
      <c r="C426" s="1" t="s">
        <v>69</v>
      </c>
      <c r="D426" s="1" t="s">
        <v>1058</v>
      </c>
      <c r="E426" s="1" t="s">
        <v>334</v>
      </c>
      <c r="F426" s="1" t="s">
        <v>335</v>
      </c>
      <c r="G426" s="1" t="s">
        <v>980</v>
      </c>
      <c r="H426" s="1" t="s">
        <v>1055</v>
      </c>
      <c r="I426" s="1">
        <v>26</v>
      </c>
      <c r="J426" s="2">
        <v>17.16</v>
      </c>
      <c r="K426" s="2">
        <v>17.161376359999998</v>
      </c>
      <c r="L426" s="2">
        <v>12.26</v>
      </c>
      <c r="M426" s="2">
        <v>12.26</v>
      </c>
      <c r="N426" s="1" t="s">
        <v>45</v>
      </c>
      <c r="O426" s="2">
        <v>1.399786</v>
      </c>
      <c r="P426" s="3">
        <f t="shared" si="12"/>
        <v>12.26</v>
      </c>
      <c r="Q426" s="3" t="str">
        <f t="shared" si="13"/>
        <v>290843764212.26</v>
      </c>
      <c r="R426" t="s">
        <v>91</v>
      </c>
      <c r="S426" t="s">
        <v>60</v>
      </c>
      <c r="T426" t="s">
        <v>102</v>
      </c>
    </row>
    <row r="427" spans="1:20" hidden="1">
      <c r="A427" t="s">
        <v>29</v>
      </c>
      <c r="B427" s="1" t="s">
        <v>755</v>
      </c>
      <c r="C427" s="1" t="s">
        <v>69</v>
      </c>
      <c r="D427" s="1" t="s">
        <v>1059</v>
      </c>
      <c r="E427" s="1" t="s">
        <v>334</v>
      </c>
      <c r="F427" s="1" t="s">
        <v>335</v>
      </c>
      <c r="G427" s="1" t="s">
        <v>881</v>
      </c>
      <c r="H427" s="1" t="s">
        <v>1055</v>
      </c>
      <c r="I427" s="1">
        <v>26</v>
      </c>
      <c r="J427" s="2">
        <v>2340.13</v>
      </c>
      <c r="K427" s="2">
        <v>2340.13423908</v>
      </c>
      <c r="L427" s="2">
        <v>1671.78</v>
      </c>
      <c r="M427" s="2">
        <v>1671.78</v>
      </c>
      <c r="N427" s="1" t="s">
        <v>45</v>
      </c>
      <c r="O427" s="2">
        <v>1.399786</v>
      </c>
      <c r="P427" s="3">
        <f t="shared" si="12"/>
        <v>1671.78</v>
      </c>
      <c r="Q427" s="3" t="str">
        <f t="shared" si="13"/>
        <v>29084379721671.78</v>
      </c>
      <c r="R427" t="s">
        <v>91</v>
      </c>
      <c r="S427" t="s">
        <v>60</v>
      </c>
      <c r="T427" t="s">
        <v>102</v>
      </c>
    </row>
    <row r="428" spans="1:20" hidden="1">
      <c r="A428" t="s">
        <v>29</v>
      </c>
      <c r="B428" s="1" t="s">
        <v>755</v>
      </c>
      <c r="C428" s="1" t="s">
        <v>69</v>
      </c>
      <c r="D428" s="1" t="s">
        <v>1060</v>
      </c>
      <c r="E428" s="1" t="s">
        <v>334</v>
      </c>
      <c r="F428" s="1" t="s">
        <v>335</v>
      </c>
      <c r="G428" s="1" t="s">
        <v>877</v>
      </c>
      <c r="H428" s="1" t="s">
        <v>1055</v>
      </c>
      <c r="I428" s="1">
        <v>26</v>
      </c>
      <c r="J428" s="2">
        <v>260.42</v>
      </c>
      <c r="K428" s="2">
        <v>260.41618743999999</v>
      </c>
      <c r="L428" s="2">
        <v>186.04</v>
      </c>
      <c r="M428" s="2">
        <v>186.04</v>
      </c>
      <c r="N428" s="1" t="s">
        <v>45</v>
      </c>
      <c r="O428" s="2">
        <v>1.399786</v>
      </c>
      <c r="P428" s="3">
        <f t="shared" si="12"/>
        <v>186.04</v>
      </c>
      <c r="Q428" s="3" t="str">
        <f t="shared" si="13"/>
        <v>2908437974186.04</v>
      </c>
      <c r="R428" t="s">
        <v>91</v>
      </c>
      <c r="S428" t="s">
        <v>60</v>
      </c>
      <c r="T428" t="s">
        <v>102</v>
      </c>
    </row>
    <row r="429" spans="1:20" hidden="1">
      <c r="A429" t="s">
        <v>29</v>
      </c>
      <c r="B429" s="1" t="s">
        <v>755</v>
      </c>
      <c r="C429" s="1" t="s">
        <v>69</v>
      </c>
      <c r="D429" s="1" t="s">
        <v>1061</v>
      </c>
      <c r="E429" s="1" t="s">
        <v>334</v>
      </c>
      <c r="F429" s="1" t="s">
        <v>335</v>
      </c>
      <c r="G429" s="1" t="s">
        <v>1062</v>
      </c>
      <c r="H429" s="1" t="s">
        <v>1055</v>
      </c>
      <c r="I429" s="1">
        <v>26</v>
      </c>
      <c r="J429" s="2">
        <v>18915.48</v>
      </c>
      <c r="K429" s="2">
        <v>18915.476192319999</v>
      </c>
      <c r="L429" s="2">
        <v>13513.12</v>
      </c>
      <c r="M429" s="2">
        <v>13513.12</v>
      </c>
      <c r="N429" s="1" t="s">
        <v>45</v>
      </c>
      <c r="O429" s="2">
        <v>1.399786</v>
      </c>
      <c r="P429" s="3">
        <f t="shared" si="12"/>
        <v>13513.12</v>
      </c>
      <c r="Q429" s="3" t="str">
        <f t="shared" si="13"/>
        <v>290843893313513.12</v>
      </c>
      <c r="R429" t="s">
        <v>91</v>
      </c>
      <c r="S429" t="s">
        <v>60</v>
      </c>
      <c r="T429" t="s">
        <v>102</v>
      </c>
    </row>
    <row r="430" spans="1:20" hidden="1">
      <c r="A430" t="s">
        <v>29</v>
      </c>
      <c r="B430" s="1" t="s">
        <v>755</v>
      </c>
      <c r="C430" s="1" t="s">
        <v>69</v>
      </c>
      <c r="D430" s="1" t="s">
        <v>1063</v>
      </c>
      <c r="E430" s="1" t="s">
        <v>616</v>
      </c>
      <c r="F430" s="1" t="s">
        <v>222</v>
      </c>
      <c r="G430" s="1" t="s">
        <v>1064</v>
      </c>
      <c r="H430" s="1" t="s">
        <v>1055</v>
      </c>
      <c r="I430" s="1">
        <v>26</v>
      </c>
      <c r="J430" s="2">
        <v>825</v>
      </c>
      <c r="K430" s="2">
        <v>825</v>
      </c>
      <c r="L430" s="2">
        <v>825</v>
      </c>
      <c r="M430" s="2">
        <v>825</v>
      </c>
      <c r="N430" s="1" t="s">
        <v>36</v>
      </c>
      <c r="O430" s="2">
        <v>1</v>
      </c>
      <c r="P430" s="3">
        <f t="shared" si="12"/>
        <v>618.75</v>
      </c>
      <c r="Q430" s="3" t="str">
        <f t="shared" si="13"/>
        <v>FGL0004824825</v>
      </c>
      <c r="R430" t="s">
        <v>758</v>
      </c>
      <c r="S430" t="s">
        <v>60</v>
      </c>
    </row>
    <row r="431" spans="1:20" hidden="1">
      <c r="A431" t="s">
        <v>29</v>
      </c>
      <c r="B431" s="1" t="s">
        <v>755</v>
      </c>
      <c r="C431" s="1" t="s">
        <v>69</v>
      </c>
      <c r="D431" s="1" t="s">
        <v>1065</v>
      </c>
      <c r="E431" s="1" t="s">
        <v>584</v>
      </c>
      <c r="F431" s="1" t="s">
        <v>585</v>
      </c>
      <c r="G431" s="1" t="s">
        <v>752</v>
      </c>
      <c r="H431" s="1" t="s">
        <v>1055</v>
      </c>
      <c r="I431" s="1">
        <v>26</v>
      </c>
      <c r="J431" s="2">
        <v>189.9</v>
      </c>
      <c r="K431" s="2">
        <v>189.9</v>
      </c>
      <c r="L431" s="2">
        <v>189.9</v>
      </c>
      <c r="M431" s="2">
        <v>189.9</v>
      </c>
      <c r="N431" s="1" t="s">
        <v>36</v>
      </c>
      <c r="O431" s="2">
        <v>1</v>
      </c>
      <c r="P431" s="3">
        <f t="shared" si="12"/>
        <v>142.42500000000001</v>
      </c>
      <c r="Q431" s="3" t="str">
        <f t="shared" si="13"/>
        <v>7733227189.9</v>
      </c>
      <c r="R431" t="s">
        <v>758</v>
      </c>
      <c r="S431" t="s">
        <v>60</v>
      </c>
    </row>
    <row r="432" spans="1:20" hidden="1">
      <c r="A432" t="s">
        <v>29</v>
      </c>
      <c r="B432" s="1" t="s">
        <v>755</v>
      </c>
      <c r="C432" s="1" t="s">
        <v>69</v>
      </c>
      <c r="D432" s="1" t="s">
        <v>1066</v>
      </c>
      <c r="E432" s="1" t="s">
        <v>616</v>
      </c>
      <c r="F432" s="1" t="s">
        <v>222</v>
      </c>
      <c r="G432" s="1" t="s">
        <v>1064</v>
      </c>
      <c r="H432" s="1" t="s">
        <v>1055</v>
      </c>
      <c r="I432" s="1">
        <v>26</v>
      </c>
      <c r="J432" s="2">
        <v>75</v>
      </c>
      <c r="K432" s="2">
        <v>75</v>
      </c>
      <c r="L432" s="2">
        <v>75</v>
      </c>
      <c r="M432" s="2">
        <v>75</v>
      </c>
      <c r="N432" s="1" t="s">
        <v>36</v>
      </c>
      <c r="O432" s="2">
        <v>1</v>
      </c>
      <c r="P432" s="3">
        <f t="shared" si="12"/>
        <v>56.25</v>
      </c>
      <c r="Q432" s="3" t="str">
        <f t="shared" si="13"/>
        <v>FGL000484075</v>
      </c>
      <c r="R432" t="s">
        <v>758</v>
      </c>
      <c r="S432" t="s">
        <v>60</v>
      </c>
    </row>
    <row r="433" spans="1:20" hidden="1">
      <c r="A433" t="s">
        <v>29</v>
      </c>
      <c r="B433" s="1" t="s">
        <v>746</v>
      </c>
      <c r="C433" s="1" t="s">
        <v>69</v>
      </c>
      <c r="D433" s="1" t="s">
        <v>1067</v>
      </c>
      <c r="E433" s="1" t="s">
        <v>156</v>
      </c>
      <c r="F433" s="1" t="s">
        <v>156</v>
      </c>
      <c r="G433" s="1" t="s">
        <v>1068</v>
      </c>
      <c r="H433" s="1" t="s">
        <v>1055</v>
      </c>
      <c r="I433" s="1">
        <v>26</v>
      </c>
      <c r="J433" s="2">
        <v>1004.82</v>
      </c>
      <c r="K433" s="2">
        <v>1004.82</v>
      </c>
      <c r="L433" s="2">
        <v>1004.82</v>
      </c>
      <c r="M433" s="2">
        <v>1004.82</v>
      </c>
      <c r="N433" s="1" t="s">
        <v>36</v>
      </c>
      <c r="O433" s="2">
        <v>1</v>
      </c>
      <c r="P433" s="3">
        <f t="shared" si="12"/>
        <v>753.61500000000001</v>
      </c>
      <c r="Q433" s="3" t="str">
        <f t="shared" si="13"/>
        <v>2-701-430871004.82</v>
      </c>
    </row>
    <row r="434" spans="1:20" hidden="1">
      <c r="A434" t="s">
        <v>29</v>
      </c>
      <c r="B434" s="1" t="s">
        <v>1055</v>
      </c>
      <c r="C434" s="1" t="s">
        <v>69</v>
      </c>
      <c r="D434" s="1" t="s">
        <v>1069</v>
      </c>
      <c r="E434" s="1" t="s">
        <v>628</v>
      </c>
      <c r="F434" s="1" t="s">
        <v>629</v>
      </c>
      <c r="G434" s="1" t="s">
        <v>1070</v>
      </c>
      <c r="H434" s="1" t="s">
        <v>1055</v>
      </c>
      <c r="I434" s="1">
        <v>26</v>
      </c>
      <c r="J434" s="2">
        <v>9668.86</v>
      </c>
      <c r="K434" s="2">
        <v>9668.8577431400008</v>
      </c>
      <c r="L434" s="2">
        <v>7020.22</v>
      </c>
      <c r="M434" s="2">
        <v>7020.22</v>
      </c>
      <c r="N434" s="1" t="s">
        <v>45</v>
      </c>
      <c r="O434" s="2">
        <v>1.3772869999999999</v>
      </c>
      <c r="P434" s="3">
        <f t="shared" si="12"/>
        <v>7020.22</v>
      </c>
      <c r="Q434" s="3" t="str">
        <f t="shared" si="13"/>
        <v>20251218M147020.22</v>
      </c>
      <c r="R434" t="s">
        <v>631</v>
      </c>
    </row>
    <row r="435" spans="1:20" hidden="1">
      <c r="A435" t="s">
        <v>29</v>
      </c>
      <c r="B435" s="1" t="s">
        <v>527</v>
      </c>
      <c r="C435" s="1" t="s">
        <v>69</v>
      </c>
      <c r="D435" s="1" t="s">
        <v>1071</v>
      </c>
      <c r="E435" s="1" t="s">
        <v>392</v>
      </c>
      <c r="F435" s="1" t="s">
        <v>393</v>
      </c>
      <c r="G435" s="1" t="s">
        <v>394</v>
      </c>
      <c r="H435" s="1" t="s">
        <v>1072</v>
      </c>
      <c r="I435" s="1">
        <v>25</v>
      </c>
      <c r="J435" s="2">
        <v>62941</v>
      </c>
      <c r="K435" s="2">
        <v>62941</v>
      </c>
      <c r="L435" s="2">
        <v>62941</v>
      </c>
      <c r="M435" s="2">
        <v>62941</v>
      </c>
      <c r="N435" s="1" t="s">
        <v>36</v>
      </c>
      <c r="O435" s="2">
        <v>1</v>
      </c>
      <c r="P435" s="3">
        <f t="shared" si="12"/>
        <v>47205.75</v>
      </c>
      <c r="Q435" s="3" t="str">
        <f t="shared" si="13"/>
        <v>000208962941</v>
      </c>
      <c r="R435" t="s">
        <v>395</v>
      </c>
      <c r="S435" t="s">
        <v>396</v>
      </c>
      <c r="T435" t="s">
        <v>102</v>
      </c>
    </row>
    <row r="436" spans="1:20" hidden="1">
      <c r="A436" t="s">
        <v>29</v>
      </c>
      <c r="B436" s="1" t="s">
        <v>527</v>
      </c>
      <c r="C436" s="1" t="s">
        <v>69</v>
      </c>
      <c r="D436" s="1" t="s">
        <v>1073</v>
      </c>
      <c r="E436" s="1" t="s">
        <v>221</v>
      </c>
      <c r="F436" s="1" t="s">
        <v>222</v>
      </c>
      <c r="G436" s="1" t="s">
        <v>784</v>
      </c>
      <c r="H436" s="1" t="s">
        <v>1072</v>
      </c>
      <c r="I436" s="1">
        <v>25</v>
      </c>
      <c r="J436" s="2">
        <v>2737.2</v>
      </c>
      <c r="K436" s="2">
        <v>2737.20056858</v>
      </c>
      <c r="L436" s="2">
        <v>1946.93</v>
      </c>
      <c r="M436" s="2">
        <v>1946.93</v>
      </c>
      <c r="N436" s="1" t="s">
        <v>45</v>
      </c>
      <c r="O436" s="2">
        <v>1.4059060000000001</v>
      </c>
      <c r="P436" s="3">
        <f t="shared" si="12"/>
        <v>1946.93</v>
      </c>
      <c r="Q436" s="3" t="str">
        <f t="shared" si="13"/>
        <v>FGL00048711946.93</v>
      </c>
      <c r="R436" t="s">
        <v>758</v>
      </c>
      <c r="S436" t="s">
        <v>60</v>
      </c>
    </row>
    <row r="437" spans="1:20" hidden="1">
      <c r="A437" t="s">
        <v>29</v>
      </c>
      <c r="B437" s="1" t="s">
        <v>527</v>
      </c>
      <c r="C437" s="1" t="s">
        <v>69</v>
      </c>
      <c r="D437" s="1" t="s">
        <v>1074</v>
      </c>
      <c r="E437" s="1" t="s">
        <v>1075</v>
      </c>
      <c r="F437" s="1" t="s">
        <v>1076</v>
      </c>
      <c r="G437" s="1" t="s">
        <v>1077</v>
      </c>
      <c r="H437" s="1" t="s">
        <v>1072</v>
      </c>
      <c r="I437" s="1">
        <v>25</v>
      </c>
      <c r="J437" s="2">
        <v>2600.13</v>
      </c>
      <c r="K437" s="2">
        <v>2600.13</v>
      </c>
      <c r="L437" s="2">
        <v>2600.13</v>
      </c>
      <c r="M437" s="2">
        <v>2600.13</v>
      </c>
      <c r="N437" s="1" t="s">
        <v>36</v>
      </c>
      <c r="O437" s="2">
        <v>1</v>
      </c>
      <c r="P437" s="3">
        <f t="shared" si="12"/>
        <v>1950.0975000000001</v>
      </c>
      <c r="Q437" s="3" t="str">
        <f t="shared" si="13"/>
        <v>343872600.13</v>
      </c>
      <c r="R437" t="s">
        <v>74</v>
      </c>
      <c r="S437" t="s">
        <v>60</v>
      </c>
      <c r="T437" t="s">
        <v>102</v>
      </c>
    </row>
    <row r="438" spans="1:20" hidden="1">
      <c r="A438" t="s">
        <v>29</v>
      </c>
      <c r="B438" s="1" t="s">
        <v>527</v>
      </c>
      <c r="C438" s="1" t="s">
        <v>69</v>
      </c>
      <c r="D438" s="1" t="s">
        <v>1078</v>
      </c>
      <c r="E438" s="1" t="s">
        <v>392</v>
      </c>
      <c r="F438" s="1" t="s">
        <v>393</v>
      </c>
      <c r="G438" s="1" t="s">
        <v>401</v>
      </c>
      <c r="H438" s="1" t="s">
        <v>1072</v>
      </c>
      <c r="I438" s="1">
        <v>25</v>
      </c>
      <c r="J438" s="2">
        <v>14464</v>
      </c>
      <c r="K438" s="2">
        <v>14464</v>
      </c>
      <c r="L438" s="2">
        <v>14464</v>
      </c>
      <c r="M438" s="2">
        <v>14464</v>
      </c>
      <c r="N438" s="1" t="s">
        <v>36</v>
      </c>
      <c r="O438" s="2">
        <v>1</v>
      </c>
      <c r="P438" s="3">
        <f t="shared" si="12"/>
        <v>10848</v>
      </c>
      <c r="Q438" s="3" t="str">
        <f t="shared" si="13"/>
        <v>000209314464</v>
      </c>
      <c r="R438" t="s">
        <v>166</v>
      </c>
    </row>
    <row r="439" spans="1:20" hidden="1">
      <c r="A439" t="s">
        <v>29</v>
      </c>
      <c r="B439" s="1" t="s">
        <v>527</v>
      </c>
      <c r="C439" s="1" t="s">
        <v>69</v>
      </c>
      <c r="D439" s="1" t="s">
        <v>1079</v>
      </c>
      <c r="E439" s="1" t="s">
        <v>584</v>
      </c>
      <c r="F439" s="1" t="s">
        <v>585</v>
      </c>
      <c r="G439" s="1" t="s">
        <v>752</v>
      </c>
      <c r="H439" s="1" t="s">
        <v>1072</v>
      </c>
      <c r="I439" s="1">
        <v>25</v>
      </c>
      <c r="J439" s="2">
        <v>189.9</v>
      </c>
      <c r="K439" s="2">
        <v>189.9</v>
      </c>
      <c r="L439" s="2">
        <v>189.9</v>
      </c>
      <c r="M439" s="2">
        <v>189.9</v>
      </c>
      <c r="N439" s="1" t="s">
        <v>36</v>
      </c>
      <c r="O439" s="2">
        <v>1</v>
      </c>
      <c r="P439" s="3">
        <f t="shared" si="12"/>
        <v>142.42500000000001</v>
      </c>
      <c r="Q439" s="3" t="str">
        <f t="shared" si="13"/>
        <v>7738227189.9</v>
      </c>
      <c r="R439" t="s">
        <v>758</v>
      </c>
      <c r="S439" t="s">
        <v>60</v>
      </c>
    </row>
    <row r="440" spans="1:20" hidden="1">
      <c r="A440" t="s">
        <v>29</v>
      </c>
      <c r="B440" s="1" t="s">
        <v>527</v>
      </c>
      <c r="C440" s="1" t="s">
        <v>69</v>
      </c>
      <c r="D440" s="1" t="s">
        <v>1080</v>
      </c>
      <c r="E440" s="1" t="s">
        <v>584</v>
      </c>
      <c r="F440" s="1" t="s">
        <v>585</v>
      </c>
      <c r="G440" s="1" t="s">
        <v>1081</v>
      </c>
      <c r="H440" s="1" t="s">
        <v>1072</v>
      </c>
      <c r="I440" s="1">
        <v>25</v>
      </c>
      <c r="J440" s="2">
        <v>188.15</v>
      </c>
      <c r="K440" s="2">
        <v>188.15</v>
      </c>
      <c r="L440" s="2">
        <v>188.15</v>
      </c>
      <c r="M440" s="2">
        <v>188.15</v>
      </c>
      <c r="N440" s="1" t="s">
        <v>36</v>
      </c>
      <c r="O440" s="2">
        <v>1</v>
      </c>
      <c r="P440" s="3">
        <f t="shared" si="12"/>
        <v>141.11250000000001</v>
      </c>
      <c r="Q440" s="3" t="str">
        <f t="shared" si="13"/>
        <v>7737243188.15</v>
      </c>
      <c r="R440" t="s">
        <v>758</v>
      </c>
      <c r="S440" t="s">
        <v>60</v>
      </c>
    </row>
    <row r="441" spans="1:20" hidden="1">
      <c r="A441" t="s">
        <v>29</v>
      </c>
      <c r="B441" s="1" t="s">
        <v>527</v>
      </c>
      <c r="C441" s="1" t="s">
        <v>69</v>
      </c>
      <c r="D441" s="1" t="s">
        <v>1082</v>
      </c>
      <c r="E441" s="1" t="s">
        <v>334</v>
      </c>
      <c r="F441" s="1" t="s">
        <v>335</v>
      </c>
      <c r="G441" s="1" t="s">
        <v>1083</v>
      </c>
      <c r="H441" s="1" t="s">
        <v>1072</v>
      </c>
      <c r="I441" s="1">
        <v>25</v>
      </c>
      <c r="J441" s="2">
        <v>5403.23</v>
      </c>
      <c r="K441" s="2">
        <v>5403.2341754400004</v>
      </c>
      <c r="L441" s="2">
        <v>3843.24</v>
      </c>
      <c r="M441" s="2">
        <v>3843.24</v>
      </c>
      <c r="N441" s="1" t="s">
        <v>45</v>
      </c>
      <c r="O441" s="2">
        <v>1.4059060000000001</v>
      </c>
      <c r="P441" s="3">
        <f t="shared" si="12"/>
        <v>3843.24</v>
      </c>
      <c r="Q441" s="3" t="str">
        <f t="shared" si="13"/>
        <v>29084397293843.24</v>
      </c>
      <c r="R441" t="s">
        <v>91</v>
      </c>
      <c r="S441" t="s">
        <v>60</v>
      </c>
      <c r="T441" t="s">
        <v>102</v>
      </c>
    </row>
    <row r="442" spans="1:20" hidden="1">
      <c r="A442" t="s">
        <v>29</v>
      </c>
      <c r="B442" s="1" t="s">
        <v>527</v>
      </c>
      <c r="C442" s="1" t="s">
        <v>69</v>
      </c>
      <c r="D442" s="1" t="s">
        <v>1084</v>
      </c>
      <c r="E442" s="1" t="s">
        <v>334</v>
      </c>
      <c r="F442" s="1" t="s">
        <v>335</v>
      </c>
      <c r="G442" s="1" t="s">
        <v>881</v>
      </c>
      <c r="H442" s="1" t="s">
        <v>1072</v>
      </c>
      <c r="I442" s="1">
        <v>25</v>
      </c>
      <c r="J442" s="2">
        <v>3456.42</v>
      </c>
      <c r="K442" s="2">
        <v>3456.4199010000002</v>
      </c>
      <c r="L442" s="2">
        <v>2458.5</v>
      </c>
      <c r="M442" s="2">
        <v>2458.5</v>
      </c>
      <c r="N442" s="1" t="s">
        <v>45</v>
      </c>
      <c r="O442" s="2">
        <v>1.4059060000000001</v>
      </c>
      <c r="P442" s="3">
        <f t="shared" si="12"/>
        <v>2458.5</v>
      </c>
      <c r="Q442" s="3" t="str">
        <f t="shared" si="13"/>
        <v>29084400302458.5</v>
      </c>
      <c r="R442" t="s">
        <v>91</v>
      </c>
      <c r="S442" t="s">
        <v>60</v>
      </c>
      <c r="T442" t="s">
        <v>102</v>
      </c>
    </row>
    <row r="443" spans="1:20" hidden="1">
      <c r="A443" t="s">
        <v>29</v>
      </c>
      <c r="B443" s="1" t="s">
        <v>527</v>
      </c>
      <c r="C443" s="1" t="s">
        <v>69</v>
      </c>
      <c r="D443" s="1" t="s">
        <v>1085</v>
      </c>
      <c r="E443" s="1" t="s">
        <v>334</v>
      </c>
      <c r="F443" s="1" t="s">
        <v>335</v>
      </c>
      <c r="G443" s="1" t="s">
        <v>1086</v>
      </c>
      <c r="H443" s="1" t="s">
        <v>1072</v>
      </c>
      <c r="I443" s="1">
        <v>25</v>
      </c>
      <c r="J443" s="2">
        <v>20656.09</v>
      </c>
      <c r="K443" s="2">
        <v>20656.091137219999</v>
      </c>
      <c r="L443" s="2">
        <v>14692.37</v>
      </c>
      <c r="M443" s="2">
        <v>14692.37</v>
      </c>
      <c r="N443" s="1" t="s">
        <v>45</v>
      </c>
      <c r="O443" s="2">
        <v>1.4059060000000001</v>
      </c>
      <c r="P443" s="3">
        <f t="shared" si="12"/>
        <v>14692.37</v>
      </c>
      <c r="Q443" s="3" t="str">
        <f t="shared" si="13"/>
        <v>290844003114692.37</v>
      </c>
      <c r="R443" t="s">
        <v>91</v>
      </c>
      <c r="S443" t="s">
        <v>60</v>
      </c>
      <c r="T443" t="s">
        <v>102</v>
      </c>
    </row>
    <row r="444" spans="1:20" hidden="1">
      <c r="A444" t="s">
        <v>29</v>
      </c>
      <c r="B444" s="1" t="s">
        <v>527</v>
      </c>
      <c r="C444" s="1" t="s">
        <v>69</v>
      </c>
      <c r="D444" s="1" t="s">
        <v>1087</v>
      </c>
      <c r="E444" s="1" t="s">
        <v>334</v>
      </c>
      <c r="F444" s="1" t="s">
        <v>335</v>
      </c>
      <c r="G444" s="1" t="s">
        <v>1034</v>
      </c>
      <c r="H444" s="1" t="s">
        <v>1072</v>
      </c>
      <c r="I444" s="1">
        <v>25</v>
      </c>
      <c r="J444" s="2">
        <v>707.96</v>
      </c>
      <c r="K444" s="2">
        <v>707.95802535999997</v>
      </c>
      <c r="L444" s="2">
        <v>503.56</v>
      </c>
      <c r="M444" s="2">
        <v>503.56</v>
      </c>
      <c r="N444" s="1" t="s">
        <v>45</v>
      </c>
      <c r="O444" s="2">
        <v>1.4059060000000001</v>
      </c>
      <c r="P444" s="3">
        <f t="shared" si="12"/>
        <v>503.56</v>
      </c>
      <c r="Q444" s="3" t="str">
        <f t="shared" si="13"/>
        <v>2908440032503.56</v>
      </c>
      <c r="R444" t="s">
        <v>91</v>
      </c>
      <c r="S444" t="s">
        <v>60</v>
      </c>
      <c r="T444" t="s">
        <v>102</v>
      </c>
    </row>
    <row r="445" spans="1:20" hidden="1">
      <c r="A445" t="s">
        <v>29</v>
      </c>
      <c r="B445" s="1" t="s">
        <v>527</v>
      </c>
      <c r="C445" s="1" t="s">
        <v>69</v>
      </c>
      <c r="D445" s="1" t="s">
        <v>1088</v>
      </c>
      <c r="E445" s="1" t="s">
        <v>334</v>
      </c>
      <c r="F445" s="1" t="s">
        <v>335</v>
      </c>
      <c r="G445" s="1" t="s">
        <v>1034</v>
      </c>
      <c r="H445" s="1" t="s">
        <v>1072</v>
      </c>
      <c r="I445" s="1">
        <v>25</v>
      </c>
      <c r="J445" s="2">
        <v>2494.98</v>
      </c>
      <c r="K445" s="2">
        <v>2494.9770238400001</v>
      </c>
      <c r="L445" s="2">
        <v>1774.64</v>
      </c>
      <c r="M445" s="2">
        <v>1774.64</v>
      </c>
      <c r="N445" s="1" t="s">
        <v>45</v>
      </c>
      <c r="O445" s="2">
        <v>1.4059060000000001</v>
      </c>
      <c r="P445" s="3">
        <f t="shared" si="12"/>
        <v>1774.64</v>
      </c>
      <c r="Q445" s="3" t="str">
        <f t="shared" si="13"/>
        <v>29084405661774.64</v>
      </c>
      <c r="R445" t="s">
        <v>91</v>
      </c>
      <c r="S445" t="s">
        <v>60</v>
      </c>
      <c r="T445" t="s">
        <v>102</v>
      </c>
    </row>
    <row r="446" spans="1:20" hidden="1">
      <c r="A446" t="s">
        <v>29</v>
      </c>
      <c r="B446" s="1" t="s">
        <v>527</v>
      </c>
      <c r="C446" s="1" t="s">
        <v>69</v>
      </c>
      <c r="D446" s="1" t="s">
        <v>1089</v>
      </c>
      <c r="E446" s="1" t="s">
        <v>334</v>
      </c>
      <c r="F446" s="1" t="s">
        <v>335</v>
      </c>
      <c r="G446" s="1" t="s">
        <v>1034</v>
      </c>
      <c r="H446" s="1" t="s">
        <v>1072</v>
      </c>
      <c r="I446" s="1">
        <v>25</v>
      </c>
      <c r="J446" s="2">
        <v>972.24</v>
      </c>
      <c r="K446" s="2">
        <v>972.24023523999995</v>
      </c>
      <c r="L446" s="2">
        <v>691.54</v>
      </c>
      <c r="M446" s="2">
        <v>691.54</v>
      </c>
      <c r="N446" s="1" t="s">
        <v>45</v>
      </c>
      <c r="O446" s="2">
        <v>1.4059060000000001</v>
      </c>
      <c r="P446" s="3">
        <f t="shared" si="12"/>
        <v>691.54</v>
      </c>
      <c r="Q446" s="3" t="str">
        <f t="shared" si="13"/>
        <v>2908440983691.54</v>
      </c>
      <c r="R446" t="s">
        <v>91</v>
      </c>
      <c r="S446" t="s">
        <v>60</v>
      </c>
      <c r="T446" t="s">
        <v>102</v>
      </c>
    </row>
    <row r="447" spans="1:20" hidden="1">
      <c r="A447" t="s">
        <v>29</v>
      </c>
      <c r="B447" s="1" t="s">
        <v>527</v>
      </c>
      <c r="C447" s="1" t="s">
        <v>69</v>
      </c>
      <c r="D447" s="1" t="s">
        <v>1090</v>
      </c>
      <c r="E447" s="1" t="s">
        <v>334</v>
      </c>
      <c r="F447" s="1" t="s">
        <v>335</v>
      </c>
      <c r="G447" s="1" t="s">
        <v>643</v>
      </c>
      <c r="H447" s="1" t="s">
        <v>1072</v>
      </c>
      <c r="I447" s="1">
        <v>25</v>
      </c>
      <c r="J447" s="2">
        <v>35.46</v>
      </c>
      <c r="K447" s="2">
        <v>35.45694932</v>
      </c>
      <c r="L447" s="2">
        <v>25.22</v>
      </c>
      <c r="M447" s="2">
        <v>25.22</v>
      </c>
      <c r="N447" s="1" t="s">
        <v>45</v>
      </c>
      <c r="O447" s="2">
        <v>1.4059060000000001</v>
      </c>
      <c r="P447" s="3">
        <f t="shared" si="12"/>
        <v>25.22</v>
      </c>
      <c r="Q447" s="3" t="str">
        <f t="shared" si="13"/>
        <v>290844125725.22</v>
      </c>
      <c r="R447" t="s">
        <v>91</v>
      </c>
      <c r="S447" t="s">
        <v>60</v>
      </c>
      <c r="T447" t="s">
        <v>102</v>
      </c>
    </row>
    <row r="448" spans="1:20" hidden="1">
      <c r="A448" t="s">
        <v>29</v>
      </c>
      <c r="B448" s="1" t="s">
        <v>527</v>
      </c>
      <c r="C448" s="1" t="s">
        <v>69</v>
      </c>
      <c r="D448" s="1" t="s">
        <v>1091</v>
      </c>
      <c r="E448" s="1" t="s">
        <v>334</v>
      </c>
      <c r="F448" s="1" t="s">
        <v>335</v>
      </c>
      <c r="G448" s="1" t="s">
        <v>1034</v>
      </c>
      <c r="H448" s="1" t="s">
        <v>1072</v>
      </c>
      <c r="I448" s="1">
        <v>25</v>
      </c>
      <c r="J448" s="2">
        <v>284.82</v>
      </c>
      <c r="K448" s="2">
        <v>284.82249653999997</v>
      </c>
      <c r="L448" s="2">
        <v>202.59</v>
      </c>
      <c r="M448" s="2">
        <v>202.59</v>
      </c>
      <c r="N448" s="1" t="s">
        <v>45</v>
      </c>
      <c r="O448" s="2">
        <v>1.4059060000000001</v>
      </c>
      <c r="P448" s="3">
        <f t="shared" si="12"/>
        <v>202.59</v>
      </c>
      <c r="Q448" s="3" t="str">
        <f t="shared" si="13"/>
        <v>2908441258202.59</v>
      </c>
      <c r="R448" t="s">
        <v>91</v>
      </c>
      <c r="S448" t="s">
        <v>60</v>
      </c>
      <c r="T448" t="s">
        <v>102</v>
      </c>
    </row>
    <row r="449" spans="1:20" hidden="1">
      <c r="A449" t="s">
        <v>29</v>
      </c>
      <c r="B449" s="1" t="s">
        <v>527</v>
      </c>
      <c r="C449" s="1" t="s">
        <v>69</v>
      </c>
      <c r="D449" s="1" t="s">
        <v>1092</v>
      </c>
      <c r="E449" s="1" t="s">
        <v>239</v>
      </c>
      <c r="F449" s="1" t="s">
        <v>240</v>
      </c>
      <c r="G449" s="1" t="s">
        <v>1093</v>
      </c>
      <c r="H449" s="1" t="s">
        <v>1072</v>
      </c>
      <c r="I449" s="1">
        <v>25</v>
      </c>
      <c r="J449" s="2">
        <v>190601.33</v>
      </c>
      <c r="K449" s="2">
        <v>190601.33358234001</v>
      </c>
      <c r="L449" s="2">
        <v>135571.89000000001</v>
      </c>
      <c r="M449" s="2">
        <v>135571.89000000001</v>
      </c>
      <c r="N449" s="1" t="s">
        <v>45</v>
      </c>
      <c r="O449" s="2">
        <v>1.4059060000000001</v>
      </c>
      <c r="P449" s="3">
        <f t="shared" ref="P449:P512" si="14">IF(N449="CAD",$P$1,1)*M449</f>
        <v>135571.89000000001</v>
      </c>
      <c r="Q449" s="3" t="str">
        <f t="shared" ref="Q449:Q512" si="15">D449&amp;M449</f>
        <v>9116843109135571.89</v>
      </c>
      <c r="R449" t="s">
        <v>59</v>
      </c>
      <c r="S449" t="s">
        <v>60</v>
      </c>
      <c r="T449" t="s">
        <v>102</v>
      </c>
    </row>
    <row r="450" spans="1:20" hidden="1">
      <c r="A450" t="s">
        <v>29</v>
      </c>
      <c r="B450" s="1" t="s">
        <v>527</v>
      </c>
      <c r="C450" s="1" t="s">
        <v>69</v>
      </c>
      <c r="D450" s="1" t="s">
        <v>1094</v>
      </c>
      <c r="E450" s="1" t="s">
        <v>1095</v>
      </c>
      <c r="F450" s="1" t="s">
        <v>1096</v>
      </c>
      <c r="G450" s="1" t="s">
        <v>1097</v>
      </c>
      <c r="H450" s="1" t="s">
        <v>1072</v>
      </c>
      <c r="I450" s="1">
        <v>25</v>
      </c>
      <c r="J450" s="2">
        <v>1739.11</v>
      </c>
      <c r="K450" s="2">
        <v>1739.105722</v>
      </c>
      <c r="L450" s="2">
        <v>1237</v>
      </c>
      <c r="M450" s="2">
        <v>1237</v>
      </c>
      <c r="N450" s="1" t="s">
        <v>45</v>
      </c>
      <c r="O450" s="2">
        <v>1.4059060000000001</v>
      </c>
      <c r="P450" s="3">
        <f t="shared" si="14"/>
        <v>1237</v>
      </c>
      <c r="Q450" s="3" t="str">
        <f t="shared" si="15"/>
        <v>WS-20251107WM031237</v>
      </c>
      <c r="R450" t="s">
        <v>74</v>
      </c>
    </row>
    <row r="451" spans="1:20" hidden="1">
      <c r="A451" t="s">
        <v>29</v>
      </c>
      <c r="B451" s="1" t="s">
        <v>761</v>
      </c>
      <c r="C451" s="1" t="s">
        <v>69</v>
      </c>
      <c r="D451" s="1" t="s">
        <v>1098</v>
      </c>
      <c r="E451" s="1" t="s">
        <v>156</v>
      </c>
      <c r="F451" s="1" t="s">
        <v>156</v>
      </c>
      <c r="G451" s="1" t="s">
        <v>865</v>
      </c>
      <c r="H451" s="1" t="s">
        <v>1072</v>
      </c>
      <c r="I451" s="1">
        <v>25</v>
      </c>
      <c r="J451" s="2">
        <v>4422.62</v>
      </c>
      <c r="K451" s="2">
        <v>4422.62</v>
      </c>
      <c r="L451" s="2">
        <v>4422.62</v>
      </c>
      <c r="M451" s="2">
        <v>4422.62</v>
      </c>
      <c r="N451" s="1" t="s">
        <v>36</v>
      </c>
      <c r="O451" s="2">
        <v>1</v>
      </c>
      <c r="P451" s="3">
        <f t="shared" si="14"/>
        <v>3316.9650000000001</v>
      </c>
      <c r="Q451" s="3" t="str">
        <f t="shared" si="15"/>
        <v>2-701-611814422.62</v>
      </c>
    </row>
    <row r="452" spans="1:20" hidden="1">
      <c r="A452" t="s">
        <v>29</v>
      </c>
      <c r="B452" s="1" t="s">
        <v>1072</v>
      </c>
      <c r="C452" s="1" t="s">
        <v>69</v>
      </c>
      <c r="D452" s="1" t="s">
        <v>1099</v>
      </c>
      <c r="E452" s="1" t="s">
        <v>628</v>
      </c>
      <c r="F452" s="1" t="s">
        <v>629</v>
      </c>
      <c r="G452" s="1" t="s">
        <v>1100</v>
      </c>
      <c r="H452" s="1" t="s">
        <v>1072</v>
      </c>
      <c r="I452" s="1">
        <v>25</v>
      </c>
      <c r="J452" s="2">
        <v>5380.68</v>
      </c>
      <c r="K452" s="2">
        <v>5380.6818000000003</v>
      </c>
      <c r="L452" s="2">
        <v>3900</v>
      </c>
      <c r="M452" s="2">
        <v>3900</v>
      </c>
      <c r="N452" s="1" t="s">
        <v>45</v>
      </c>
      <c r="O452" s="2">
        <v>1.3796619999999999</v>
      </c>
      <c r="P452" s="3">
        <f t="shared" si="14"/>
        <v>3900</v>
      </c>
      <c r="Q452" s="3" t="str">
        <f t="shared" si="15"/>
        <v>20251219M153900</v>
      </c>
      <c r="R452" t="s">
        <v>631</v>
      </c>
    </row>
    <row r="453" spans="1:20" hidden="1">
      <c r="A453" t="s">
        <v>29</v>
      </c>
      <c r="B453" s="1" t="s">
        <v>1072</v>
      </c>
      <c r="C453" s="1" t="s">
        <v>69</v>
      </c>
      <c r="D453" s="1" t="s">
        <v>1101</v>
      </c>
      <c r="E453" s="1" t="s">
        <v>805</v>
      </c>
      <c r="F453" s="1" t="s">
        <v>806</v>
      </c>
      <c r="G453" s="1" t="s">
        <v>1102</v>
      </c>
      <c r="H453" s="1" t="s">
        <v>1072</v>
      </c>
      <c r="I453" s="1">
        <v>25</v>
      </c>
      <c r="J453" s="2">
        <v>36815.4</v>
      </c>
      <c r="K453" s="2">
        <v>36815.4</v>
      </c>
      <c r="L453" s="2">
        <v>36815.4</v>
      </c>
      <c r="M453" s="2">
        <v>36815.4</v>
      </c>
      <c r="N453" s="1" t="s">
        <v>36</v>
      </c>
      <c r="O453" s="2">
        <v>1</v>
      </c>
      <c r="P453" s="3">
        <f t="shared" si="14"/>
        <v>27611.550000000003</v>
      </c>
      <c r="Q453" s="3" t="str">
        <f t="shared" si="15"/>
        <v>2025-TT-017236815.4</v>
      </c>
      <c r="R453" t="s">
        <v>37</v>
      </c>
    </row>
    <row r="454" spans="1:20" hidden="1">
      <c r="A454" t="s">
        <v>29</v>
      </c>
      <c r="B454" s="1" t="s">
        <v>1072</v>
      </c>
      <c r="C454" s="1" t="s">
        <v>69</v>
      </c>
      <c r="D454" s="1" t="s">
        <v>1103</v>
      </c>
      <c r="E454" s="1" t="s">
        <v>805</v>
      </c>
      <c r="F454" s="1" t="s">
        <v>806</v>
      </c>
      <c r="G454" s="1" t="s">
        <v>1102</v>
      </c>
      <c r="H454" s="1" t="s">
        <v>1072</v>
      </c>
      <c r="I454" s="1">
        <v>25</v>
      </c>
      <c r="J454" s="2">
        <v>7684</v>
      </c>
      <c r="K454" s="2">
        <v>7684</v>
      </c>
      <c r="L454" s="2">
        <v>7684</v>
      </c>
      <c r="M454" s="2">
        <v>7684</v>
      </c>
      <c r="N454" s="1" t="s">
        <v>36</v>
      </c>
      <c r="O454" s="2">
        <v>1</v>
      </c>
      <c r="P454" s="3">
        <f t="shared" si="14"/>
        <v>5763</v>
      </c>
      <c r="Q454" s="3" t="str">
        <f t="shared" si="15"/>
        <v>2025-TTHDOC-00467684</v>
      </c>
      <c r="R454" t="s">
        <v>37</v>
      </c>
    </row>
    <row r="455" spans="1:20" hidden="1">
      <c r="A455" t="s">
        <v>29</v>
      </c>
      <c r="B455" s="1" t="s">
        <v>537</v>
      </c>
      <c r="C455" s="1" t="s">
        <v>69</v>
      </c>
      <c r="D455" s="1" t="s">
        <v>1104</v>
      </c>
      <c r="E455" s="1" t="s">
        <v>334</v>
      </c>
      <c r="F455" s="1" t="s">
        <v>335</v>
      </c>
      <c r="G455" s="1" t="s">
        <v>1105</v>
      </c>
      <c r="H455" s="1" t="s">
        <v>1106</v>
      </c>
      <c r="I455" s="1">
        <v>24</v>
      </c>
      <c r="J455" s="2">
        <v>42274.05</v>
      </c>
      <c r="K455" s="2">
        <v>42274.05</v>
      </c>
      <c r="L455" s="2">
        <v>30000</v>
      </c>
      <c r="M455" s="2">
        <v>30000</v>
      </c>
      <c r="N455" s="1" t="s">
        <v>45</v>
      </c>
      <c r="O455" s="2">
        <v>1.409135</v>
      </c>
      <c r="P455" s="3">
        <f t="shared" si="14"/>
        <v>30000</v>
      </c>
      <c r="Q455" s="3" t="str">
        <f t="shared" si="15"/>
        <v>290844326030000</v>
      </c>
      <c r="R455" t="s">
        <v>91</v>
      </c>
      <c r="S455" t="s">
        <v>60</v>
      </c>
      <c r="T455" t="s">
        <v>102</v>
      </c>
    </row>
    <row r="456" spans="1:20" hidden="1">
      <c r="A456" t="s">
        <v>29</v>
      </c>
      <c r="B456" s="1" t="s">
        <v>537</v>
      </c>
      <c r="C456" s="1" t="s">
        <v>69</v>
      </c>
      <c r="D456" s="1" t="s">
        <v>1107</v>
      </c>
      <c r="E456" s="1" t="s">
        <v>334</v>
      </c>
      <c r="F456" s="1" t="s">
        <v>335</v>
      </c>
      <c r="G456" s="1" t="s">
        <v>1108</v>
      </c>
      <c r="H456" s="1" t="s">
        <v>1106</v>
      </c>
      <c r="I456" s="1">
        <v>24</v>
      </c>
      <c r="J456" s="2">
        <v>161740.51999999999</v>
      </c>
      <c r="K456" s="2">
        <v>161740.5153</v>
      </c>
      <c r="L456" s="2">
        <v>114780</v>
      </c>
      <c r="M456" s="2">
        <v>114780</v>
      </c>
      <c r="N456" s="1" t="s">
        <v>45</v>
      </c>
      <c r="O456" s="2">
        <v>1.409135</v>
      </c>
      <c r="P456" s="3">
        <f t="shared" si="14"/>
        <v>114780</v>
      </c>
      <c r="Q456" s="3" t="str">
        <f t="shared" si="15"/>
        <v>1909734180114780</v>
      </c>
      <c r="R456" t="s">
        <v>91</v>
      </c>
      <c r="S456" t="s">
        <v>60</v>
      </c>
      <c r="T456" t="s">
        <v>102</v>
      </c>
    </row>
    <row r="457" spans="1:20" hidden="1">
      <c r="A457" t="s">
        <v>29</v>
      </c>
      <c r="B457" s="1" t="s">
        <v>537</v>
      </c>
      <c r="C457" s="1" t="s">
        <v>69</v>
      </c>
      <c r="D457" s="1" t="s">
        <v>1109</v>
      </c>
      <c r="E457" s="1" t="s">
        <v>334</v>
      </c>
      <c r="F457" s="1" t="s">
        <v>335</v>
      </c>
      <c r="G457" s="1" t="s">
        <v>1110</v>
      </c>
      <c r="H457" s="1" t="s">
        <v>1106</v>
      </c>
      <c r="I457" s="1">
        <v>24</v>
      </c>
      <c r="J457" s="2">
        <v>65891.149999999994</v>
      </c>
      <c r="K457" s="2">
        <v>65891.152600000001</v>
      </c>
      <c r="L457" s="2">
        <v>46760</v>
      </c>
      <c r="M457" s="2">
        <v>46760</v>
      </c>
      <c r="N457" s="1" t="s">
        <v>45</v>
      </c>
      <c r="O457" s="2">
        <v>1.409135</v>
      </c>
      <c r="P457" s="3">
        <f t="shared" si="14"/>
        <v>46760</v>
      </c>
      <c r="Q457" s="3" t="str">
        <f t="shared" si="15"/>
        <v>190973418146760</v>
      </c>
      <c r="R457" t="s">
        <v>91</v>
      </c>
      <c r="S457" t="s">
        <v>60</v>
      </c>
      <c r="T457" t="s">
        <v>102</v>
      </c>
    </row>
    <row r="458" spans="1:20" hidden="1">
      <c r="A458" t="s">
        <v>29</v>
      </c>
      <c r="B458" s="1" t="s">
        <v>537</v>
      </c>
      <c r="C458" s="1" t="s">
        <v>69</v>
      </c>
      <c r="D458" s="1" t="s">
        <v>1111</v>
      </c>
      <c r="E458" s="1" t="s">
        <v>580</v>
      </c>
      <c r="F458" s="1" t="s">
        <v>581</v>
      </c>
      <c r="G458" s="1" t="s">
        <v>669</v>
      </c>
      <c r="H458" s="1" t="s">
        <v>1106</v>
      </c>
      <c r="I458" s="1">
        <v>24</v>
      </c>
      <c r="J458" s="2">
        <v>5189.68</v>
      </c>
      <c r="K458" s="2">
        <v>5189.6751088000001</v>
      </c>
      <c r="L458" s="2">
        <v>3682.88</v>
      </c>
      <c r="M458" s="2">
        <v>3682.88</v>
      </c>
      <c r="N458" s="1" t="s">
        <v>45</v>
      </c>
      <c r="O458" s="2">
        <v>1.409135</v>
      </c>
      <c r="P458" s="3">
        <f t="shared" si="14"/>
        <v>3682.88</v>
      </c>
      <c r="Q458" s="3" t="str">
        <f t="shared" si="15"/>
        <v>1312083682.88</v>
      </c>
      <c r="R458" t="s">
        <v>74</v>
      </c>
      <c r="S458" t="s">
        <v>60</v>
      </c>
      <c r="T458" t="s">
        <v>102</v>
      </c>
    </row>
    <row r="459" spans="1:20" hidden="1">
      <c r="A459" t="s">
        <v>29</v>
      </c>
      <c r="B459" s="1" t="s">
        <v>537</v>
      </c>
      <c r="C459" s="1" t="s">
        <v>69</v>
      </c>
      <c r="D459" s="1" t="s">
        <v>1112</v>
      </c>
      <c r="E459" s="1" t="s">
        <v>334</v>
      </c>
      <c r="F459" s="1" t="s">
        <v>335</v>
      </c>
      <c r="G459" s="1" t="s">
        <v>877</v>
      </c>
      <c r="H459" s="1" t="s">
        <v>1106</v>
      </c>
      <c r="I459" s="1">
        <v>24</v>
      </c>
      <c r="J459" s="2">
        <v>267.64</v>
      </c>
      <c r="K459" s="2">
        <v>267.63701055000001</v>
      </c>
      <c r="L459" s="2">
        <v>189.93</v>
      </c>
      <c r="M459" s="2">
        <v>189.93</v>
      </c>
      <c r="N459" s="1" t="s">
        <v>45</v>
      </c>
      <c r="O459" s="2">
        <v>1.409135</v>
      </c>
      <c r="P459" s="3">
        <f t="shared" si="14"/>
        <v>189.93</v>
      </c>
      <c r="Q459" s="3" t="str">
        <f t="shared" si="15"/>
        <v>2908441907189.93</v>
      </c>
      <c r="R459" t="s">
        <v>91</v>
      </c>
      <c r="S459" t="s">
        <v>60</v>
      </c>
      <c r="T459" t="s">
        <v>102</v>
      </c>
    </row>
    <row r="460" spans="1:20" hidden="1">
      <c r="A460" t="s">
        <v>29</v>
      </c>
      <c r="B460" s="1" t="s">
        <v>537</v>
      </c>
      <c r="C460" s="1" t="s">
        <v>69</v>
      </c>
      <c r="D460" s="1" t="s">
        <v>1113</v>
      </c>
      <c r="E460" s="1" t="s">
        <v>334</v>
      </c>
      <c r="F460" s="1" t="s">
        <v>335</v>
      </c>
      <c r="G460" s="1" t="s">
        <v>1114</v>
      </c>
      <c r="H460" s="1" t="s">
        <v>1106</v>
      </c>
      <c r="I460" s="1">
        <v>24</v>
      </c>
      <c r="J460" s="2">
        <v>1801.66</v>
      </c>
      <c r="K460" s="2">
        <v>1801.6636456000001</v>
      </c>
      <c r="L460" s="2">
        <v>1278.56</v>
      </c>
      <c r="M460" s="2">
        <v>1278.56</v>
      </c>
      <c r="N460" s="1" t="s">
        <v>45</v>
      </c>
      <c r="O460" s="2">
        <v>1.409135</v>
      </c>
      <c r="P460" s="3">
        <f t="shared" si="14"/>
        <v>1278.56</v>
      </c>
      <c r="Q460" s="3" t="str">
        <f t="shared" si="15"/>
        <v>29084419851278.56</v>
      </c>
      <c r="R460" t="s">
        <v>91</v>
      </c>
      <c r="S460" t="s">
        <v>60</v>
      </c>
      <c r="T460" t="s">
        <v>102</v>
      </c>
    </row>
    <row r="461" spans="1:20" hidden="1">
      <c r="A461" t="s">
        <v>29</v>
      </c>
      <c r="B461" s="1" t="s">
        <v>537</v>
      </c>
      <c r="C461" s="1" t="s">
        <v>69</v>
      </c>
      <c r="D461" s="1" t="s">
        <v>1115</v>
      </c>
      <c r="E461" s="1" t="s">
        <v>334</v>
      </c>
      <c r="F461" s="1" t="s">
        <v>335</v>
      </c>
      <c r="G461" s="1" t="s">
        <v>643</v>
      </c>
      <c r="H461" s="1" t="s">
        <v>1106</v>
      </c>
      <c r="I461" s="1">
        <v>24</v>
      </c>
      <c r="J461" s="2">
        <v>10443.51</v>
      </c>
      <c r="K461" s="2">
        <v>10443.508134150001</v>
      </c>
      <c r="L461" s="2">
        <v>7411.29</v>
      </c>
      <c r="M461" s="2">
        <v>7411.29</v>
      </c>
      <c r="N461" s="1" t="s">
        <v>45</v>
      </c>
      <c r="O461" s="2">
        <v>1.409135</v>
      </c>
      <c r="P461" s="3">
        <f t="shared" si="14"/>
        <v>7411.29</v>
      </c>
      <c r="Q461" s="3" t="str">
        <f t="shared" si="15"/>
        <v>29084429437411.29</v>
      </c>
      <c r="R461" t="s">
        <v>91</v>
      </c>
      <c r="S461" t="s">
        <v>60</v>
      </c>
      <c r="T461" t="s">
        <v>102</v>
      </c>
    </row>
    <row r="462" spans="1:20" hidden="1">
      <c r="A462" t="s">
        <v>29</v>
      </c>
      <c r="B462" s="1" t="s">
        <v>537</v>
      </c>
      <c r="C462" s="1" t="s">
        <v>69</v>
      </c>
      <c r="D462" s="1" t="s">
        <v>1116</v>
      </c>
      <c r="E462" s="1" t="s">
        <v>334</v>
      </c>
      <c r="F462" s="1" t="s">
        <v>335</v>
      </c>
      <c r="G462" s="1" t="s">
        <v>1062</v>
      </c>
      <c r="H462" s="1" t="s">
        <v>1106</v>
      </c>
      <c r="I462" s="1">
        <v>24</v>
      </c>
      <c r="J462" s="2">
        <v>9232.92</v>
      </c>
      <c r="K462" s="2">
        <v>9232.9202556500004</v>
      </c>
      <c r="L462" s="2">
        <v>6552.19</v>
      </c>
      <c r="M462" s="2">
        <v>6552.19</v>
      </c>
      <c r="N462" s="1" t="s">
        <v>45</v>
      </c>
      <c r="O462" s="2">
        <v>1.409135</v>
      </c>
      <c r="P462" s="3">
        <f t="shared" si="14"/>
        <v>6552.19</v>
      </c>
      <c r="Q462" s="3" t="str">
        <f t="shared" si="15"/>
        <v>29084432716552.19</v>
      </c>
      <c r="R462" t="s">
        <v>91</v>
      </c>
      <c r="S462" t="s">
        <v>60</v>
      </c>
      <c r="T462" t="s">
        <v>102</v>
      </c>
    </row>
    <row r="463" spans="1:20" hidden="1">
      <c r="A463" t="s">
        <v>29</v>
      </c>
      <c r="B463" s="1" t="s">
        <v>537</v>
      </c>
      <c r="C463" s="1" t="s">
        <v>69</v>
      </c>
      <c r="D463" s="1" t="s">
        <v>1117</v>
      </c>
      <c r="E463" s="1" t="s">
        <v>334</v>
      </c>
      <c r="F463" s="1" t="s">
        <v>335</v>
      </c>
      <c r="G463" s="1" t="s">
        <v>1118</v>
      </c>
      <c r="H463" s="1" t="s">
        <v>1106</v>
      </c>
      <c r="I463" s="1">
        <v>24</v>
      </c>
      <c r="J463" s="2">
        <v>778.97</v>
      </c>
      <c r="K463" s="2">
        <v>778.96982800000001</v>
      </c>
      <c r="L463" s="2">
        <v>552.79999999999995</v>
      </c>
      <c r="M463" s="2">
        <v>552.79999999999995</v>
      </c>
      <c r="N463" s="1" t="s">
        <v>45</v>
      </c>
      <c r="O463" s="2">
        <v>1.409135</v>
      </c>
      <c r="P463" s="3">
        <f t="shared" si="14"/>
        <v>552.79999999999995</v>
      </c>
      <c r="Q463" s="3" t="str">
        <f t="shared" si="15"/>
        <v>2908443727552.8</v>
      </c>
      <c r="R463" t="s">
        <v>91</v>
      </c>
      <c r="S463" t="s">
        <v>60</v>
      </c>
      <c r="T463" t="s">
        <v>102</v>
      </c>
    </row>
    <row r="464" spans="1:20" hidden="1">
      <c r="A464" t="s">
        <v>29</v>
      </c>
      <c r="B464" s="1" t="s">
        <v>537</v>
      </c>
      <c r="C464" s="1" t="s">
        <v>69</v>
      </c>
      <c r="D464" s="1" t="s">
        <v>1119</v>
      </c>
      <c r="E464" s="1" t="s">
        <v>334</v>
      </c>
      <c r="F464" s="1" t="s">
        <v>335</v>
      </c>
      <c r="G464" s="1" t="s">
        <v>1120</v>
      </c>
      <c r="H464" s="1" t="s">
        <v>1106</v>
      </c>
      <c r="I464" s="1">
        <v>24</v>
      </c>
      <c r="J464" s="2">
        <v>1391.39</v>
      </c>
      <c r="K464" s="2">
        <v>1391.39399035</v>
      </c>
      <c r="L464" s="2">
        <v>987.41</v>
      </c>
      <c r="M464" s="2">
        <v>987.41</v>
      </c>
      <c r="N464" s="1" t="s">
        <v>45</v>
      </c>
      <c r="O464" s="2">
        <v>1.409135</v>
      </c>
      <c r="P464" s="3">
        <f t="shared" si="14"/>
        <v>987.41</v>
      </c>
      <c r="Q464" s="3" t="str">
        <f t="shared" si="15"/>
        <v>2908443728987.41</v>
      </c>
      <c r="R464" t="s">
        <v>91</v>
      </c>
      <c r="S464" t="s">
        <v>60</v>
      </c>
      <c r="T464" t="s">
        <v>102</v>
      </c>
    </row>
    <row r="465" spans="1:20" hidden="1">
      <c r="A465" t="s">
        <v>29</v>
      </c>
      <c r="B465" s="1" t="s">
        <v>537</v>
      </c>
      <c r="C465" s="1" t="s">
        <v>69</v>
      </c>
      <c r="D465" s="1" t="s">
        <v>1121</v>
      </c>
      <c r="E465" s="1" t="s">
        <v>334</v>
      </c>
      <c r="F465" s="1" t="s">
        <v>335</v>
      </c>
      <c r="G465" s="1" t="s">
        <v>1120</v>
      </c>
      <c r="H465" s="1" t="s">
        <v>1106</v>
      </c>
      <c r="I465" s="1">
        <v>24</v>
      </c>
      <c r="J465" s="2">
        <v>8329.16</v>
      </c>
      <c r="K465" s="2">
        <v>8329.1574320500004</v>
      </c>
      <c r="L465" s="2">
        <v>5910.83</v>
      </c>
      <c r="M465" s="2">
        <v>5910.83</v>
      </c>
      <c r="N465" s="1" t="s">
        <v>45</v>
      </c>
      <c r="O465" s="2">
        <v>1.409135</v>
      </c>
      <c r="P465" s="3">
        <f t="shared" si="14"/>
        <v>5910.83</v>
      </c>
      <c r="Q465" s="3" t="str">
        <f t="shared" si="15"/>
        <v>29084439315910.83</v>
      </c>
      <c r="R465" t="s">
        <v>91</v>
      </c>
      <c r="S465" t="s">
        <v>60</v>
      </c>
      <c r="T465" t="s">
        <v>102</v>
      </c>
    </row>
    <row r="466" spans="1:20" hidden="1">
      <c r="A466" t="s">
        <v>29</v>
      </c>
      <c r="B466" s="1" t="s">
        <v>537</v>
      </c>
      <c r="C466" s="1" t="s">
        <v>69</v>
      </c>
      <c r="D466" s="1" t="s">
        <v>1122</v>
      </c>
      <c r="E466" s="1" t="s">
        <v>71</v>
      </c>
      <c r="F466" s="1" t="s">
        <v>72</v>
      </c>
      <c r="G466" s="1" t="s">
        <v>943</v>
      </c>
      <c r="H466" s="1" t="s">
        <v>1106</v>
      </c>
      <c r="I466" s="1">
        <v>24</v>
      </c>
      <c r="J466" s="2">
        <v>411218.17</v>
      </c>
      <c r="K466" s="2">
        <v>411218.17220119998</v>
      </c>
      <c r="L466" s="2">
        <v>291823.12</v>
      </c>
      <c r="M466" s="2">
        <v>291823.12</v>
      </c>
      <c r="N466" s="1" t="s">
        <v>45</v>
      </c>
      <c r="O466" s="2">
        <v>1.409135</v>
      </c>
      <c r="P466" s="3">
        <f t="shared" si="14"/>
        <v>291823.12</v>
      </c>
      <c r="Q466" s="3" t="str">
        <f t="shared" si="15"/>
        <v>91909189291823.12</v>
      </c>
      <c r="R466" t="s">
        <v>74</v>
      </c>
      <c r="S466" t="s">
        <v>60</v>
      </c>
      <c r="T466" t="s">
        <v>102</v>
      </c>
    </row>
    <row r="467" spans="1:20" hidden="1">
      <c r="A467" t="s">
        <v>29</v>
      </c>
      <c r="B467" s="1" t="s">
        <v>537</v>
      </c>
      <c r="C467" s="1" t="s">
        <v>69</v>
      </c>
      <c r="D467" s="1" t="s">
        <v>1123</v>
      </c>
      <c r="E467" s="1" t="s">
        <v>485</v>
      </c>
      <c r="F467" s="1" t="s">
        <v>486</v>
      </c>
      <c r="G467" s="1" t="s">
        <v>1124</v>
      </c>
      <c r="H467" s="1" t="s">
        <v>1106</v>
      </c>
      <c r="I467" s="1">
        <v>24</v>
      </c>
      <c r="J467" s="2">
        <v>5847.91</v>
      </c>
      <c r="K467" s="2">
        <v>5847.9102499999999</v>
      </c>
      <c r="L467" s="2">
        <v>4150</v>
      </c>
      <c r="M467" s="2">
        <v>4150</v>
      </c>
      <c r="N467" s="1" t="s">
        <v>45</v>
      </c>
      <c r="O467" s="2">
        <v>1.409135</v>
      </c>
      <c r="P467" s="3">
        <f t="shared" si="14"/>
        <v>4150</v>
      </c>
      <c r="Q467" s="3" t="str">
        <f t="shared" si="15"/>
        <v>CCI2025112001PM14150</v>
      </c>
      <c r="R467" t="s">
        <v>74</v>
      </c>
      <c r="S467" t="s">
        <v>60</v>
      </c>
      <c r="T467" t="s">
        <v>102</v>
      </c>
    </row>
    <row r="468" spans="1:20" hidden="1">
      <c r="A468" t="s">
        <v>29</v>
      </c>
      <c r="B468" s="1" t="s">
        <v>537</v>
      </c>
      <c r="C468" s="1" t="s">
        <v>69</v>
      </c>
      <c r="D468" s="1" t="s">
        <v>1125</v>
      </c>
      <c r="E468" s="1" t="s">
        <v>142</v>
      </c>
      <c r="F468" s="1" t="s">
        <v>143</v>
      </c>
      <c r="G468" s="1" t="s">
        <v>1126</v>
      </c>
      <c r="H468" s="1" t="s">
        <v>1106</v>
      </c>
      <c r="I468" s="1">
        <v>24</v>
      </c>
      <c r="J468" s="2">
        <v>1257.0899999999999</v>
      </c>
      <c r="K468" s="2">
        <v>1257.0893335000001</v>
      </c>
      <c r="L468" s="2">
        <v>892.1</v>
      </c>
      <c r="M468" s="2">
        <v>892.1</v>
      </c>
      <c r="N468" s="1" t="s">
        <v>45</v>
      </c>
      <c r="O468" s="2">
        <v>1.409135</v>
      </c>
      <c r="P468" s="3">
        <f t="shared" si="14"/>
        <v>892.1</v>
      </c>
      <c r="Q468" s="3" t="str">
        <f t="shared" si="15"/>
        <v>0932184071892.1</v>
      </c>
    </row>
    <row r="469" spans="1:20" hidden="1">
      <c r="A469" t="s">
        <v>29</v>
      </c>
      <c r="B469" s="1" t="s">
        <v>537</v>
      </c>
      <c r="C469" s="1" t="s">
        <v>69</v>
      </c>
      <c r="D469" s="1" t="s">
        <v>1127</v>
      </c>
      <c r="E469" s="1" t="s">
        <v>608</v>
      </c>
      <c r="F469" s="1" t="s">
        <v>609</v>
      </c>
      <c r="G469" s="1" t="s">
        <v>1128</v>
      </c>
      <c r="H469" s="1" t="s">
        <v>1106</v>
      </c>
      <c r="I469" s="1">
        <v>24</v>
      </c>
      <c r="J469" s="2">
        <v>78039.73</v>
      </c>
      <c r="K469" s="2">
        <v>78039.7281755</v>
      </c>
      <c r="L469" s="2">
        <v>55381.3</v>
      </c>
      <c r="M469" s="2">
        <v>55381.3</v>
      </c>
      <c r="N469" s="1" t="s">
        <v>45</v>
      </c>
      <c r="O469" s="2">
        <v>1.409135</v>
      </c>
      <c r="P469" s="3">
        <f t="shared" si="14"/>
        <v>55381.3</v>
      </c>
      <c r="Q469" s="3" t="str">
        <f t="shared" si="15"/>
        <v>1791234055381.3</v>
      </c>
      <c r="R469" t="s">
        <v>74</v>
      </c>
    </row>
    <row r="470" spans="1:20" hidden="1">
      <c r="A470" t="s">
        <v>29</v>
      </c>
      <c r="B470" s="1" t="s">
        <v>537</v>
      </c>
      <c r="C470" s="1" t="s">
        <v>69</v>
      </c>
      <c r="D470" s="1" t="s">
        <v>1129</v>
      </c>
      <c r="E470" s="1" t="s">
        <v>584</v>
      </c>
      <c r="F470" s="1" t="s">
        <v>585</v>
      </c>
      <c r="G470" s="1" t="s">
        <v>752</v>
      </c>
      <c r="H470" s="1" t="s">
        <v>1106</v>
      </c>
      <c r="I470" s="1">
        <v>24</v>
      </c>
      <c r="J470" s="2">
        <v>179</v>
      </c>
      <c r="K470" s="2">
        <v>179</v>
      </c>
      <c r="L470" s="2">
        <v>179</v>
      </c>
      <c r="M470" s="2">
        <v>179</v>
      </c>
      <c r="N470" s="1" t="s">
        <v>36</v>
      </c>
      <c r="O470" s="2">
        <v>1</v>
      </c>
      <c r="P470" s="3">
        <f t="shared" si="14"/>
        <v>134.25</v>
      </c>
      <c r="Q470" s="3" t="str">
        <f t="shared" si="15"/>
        <v>7742442179</v>
      </c>
      <c r="R470" t="s">
        <v>758</v>
      </c>
      <c r="S470" t="s">
        <v>60</v>
      </c>
    </row>
    <row r="471" spans="1:20" hidden="1">
      <c r="A471" t="s">
        <v>29</v>
      </c>
      <c r="B471" s="1" t="s">
        <v>537</v>
      </c>
      <c r="C471" s="1" t="s">
        <v>69</v>
      </c>
      <c r="D471" s="1" t="s">
        <v>1130</v>
      </c>
      <c r="E471" s="1" t="s">
        <v>320</v>
      </c>
      <c r="F471" s="1" t="s">
        <v>151</v>
      </c>
      <c r="G471" s="1" t="s">
        <v>1131</v>
      </c>
      <c r="H471" s="1" t="s">
        <v>1106</v>
      </c>
      <c r="I471" s="1">
        <v>24</v>
      </c>
      <c r="J471" s="2">
        <v>1939025.34</v>
      </c>
      <c r="K471" s="2">
        <v>1939025.3362844</v>
      </c>
      <c r="L471" s="2">
        <v>1376039.44</v>
      </c>
      <c r="M471" s="2">
        <v>1376039.44</v>
      </c>
      <c r="N471" s="1" t="s">
        <v>45</v>
      </c>
      <c r="O471" s="2">
        <v>1.409135</v>
      </c>
      <c r="P471" s="3">
        <f t="shared" si="14"/>
        <v>1376039.44</v>
      </c>
      <c r="Q471" s="3" t="str">
        <f t="shared" si="15"/>
        <v>CB004778571376039.44</v>
      </c>
      <c r="R471" t="s">
        <v>59</v>
      </c>
      <c r="S471" t="s">
        <v>60</v>
      </c>
      <c r="T471" t="s">
        <v>102</v>
      </c>
    </row>
    <row r="472" spans="1:20" hidden="1">
      <c r="A472" t="s">
        <v>29</v>
      </c>
      <c r="B472" s="1" t="s">
        <v>537</v>
      </c>
      <c r="C472" s="1" t="s">
        <v>69</v>
      </c>
      <c r="D472" s="1" t="s">
        <v>1132</v>
      </c>
      <c r="E472" s="1" t="s">
        <v>150</v>
      </c>
      <c r="F472" s="1" t="s">
        <v>151</v>
      </c>
      <c r="G472" s="1" t="s">
        <v>1133</v>
      </c>
      <c r="H472" s="1" t="s">
        <v>1106</v>
      </c>
      <c r="I472" s="1">
        <v>24</v>
      </c>
      <c r="J472" s="2">
        <v>12349.77</v>
      </c>
      <c r="K472" s="2">
        <v>12349.77</v>
      </c>
      <c r="L472" s="2">
        <v>12349.77</v>
      </c>
      <c r="M472" s="2">
        <v>12349.77</v>
      </c>
      <c r="N472" s="1" t="s">
        <v>36</v>
      </c>
      <c r="O472" s="2">
        <v>1</v>
      </c>
      <c r="P472" s="3">
        <f t="shared" si="14"/>
        <v>9262.3274999999994</v>
      </c>
      <c r="Q472" s="3" t="str">
        <f t="shared" si="15"/>
        <v>CB0047791412349.77</v>
      </c>
      <c r="R472" t="s">
        <v>59</v>
      </c>
      <c r="S472" t="s">
        <v>60</v>
      </c>
      <c r="T472" t="s">
        <v>102</v>
      </c>
    </row>
    <row r="473" spans="1:20" hidden="1">
      <c r="A473" t="s">
        <v>29</v>
      </c>
      <c r="B473" s="1" t="s">
        <v>544</v>
      </c>
      <c r="C473" s="1" t="s">
        <v>69</v>
      </c>
      <c r="D473" s="1" t="s">
        <v>1134</v>
      </c>
      <c r="E473" s="1" t="s">
        <v>584</v>
      </c>
      <c r="F473" s="1" t="s">
        <v>585</v>
      </c>
      <c r="G473" s="1" t="s">
        <v>752</v>
      </c>
      <c r="H473" s="1" t="s">
        <v>1135</v>
      </c>
      <c r="I473" s="1">
        <v>23</v>
      </c>
      <c r="J473" s="2">
        <v>189.9</v>
      </c>
      <c r="K473" s="2">
        <v>189.9</v>
      </c>
      <c r="L473" s="2">
        <v>189.9</v>
      </c>
      <c r="M473" s="2">
        <v>189.9</v>
      </c>
      <c r="N473" s="1" t="s">
        <v>36</v>
      </c>
      <c r="O473" s="2">
        <v>1</v>
      </c>
      <c r="P473" s="3">
        <f t="shared" si="14"/>
        <v>142.42500000000001</v>
      </c>
      <c r="Q473" s="3" t="str">
        <f t="shared" si="15"/>
        <v>7748151189.9</v>
      </c>
      <c r="R473" t="s">
        <v>758</v>
      </c>
      <c r="S473" t="s">
        <v>60</v>
      </c>
    </row>
    <row r="474" spans="1:20" hidden="1">
      <c r="A474" t="s">
        <v>29</v>
      </c>
      <c r="B474" s="1" t="s">
        <v>544</v>
      </c>
      <c r="C474" s="1" t="s">
        <v>69</v>
      </c>
      <c r="D474" s="1" t="s">
        <v>1136</v>
      </c>
      <c r="E474" s="1" t="s">
        <v>584</v>
      </c>
      <c r="F474" s="1" t="s">
        <v>585</v>
      </c>
      <c r="G474" s="1" t="s">
        <v>752</v>
      </c>
      <c r="H474" s="1" t="s">
        <v>1135</v>
      </c>
      <c r="I474" s="1">
        <v>23</v>
      </c>
      <c r="J474" s="2">
        <v>97.41</v>
      </c>
      <c r="K474" s="2">
        <v>97.41</v>
      </c>
      <c r="L474" s="2">
        <v>97.41</v>
      </c>
      <c r="M474" s="2">
        <v>97.41</v>
      </c>
      <c r="N474" s="1" t="s">
        <v>36</v>
      </c>
      <c r="O474" s="2">
        <v>1</v>
      </c>
      <c r="P474" s="3">
        <f t="shared" si="14"/>
        <v>73.057500000000005</v>
      </c>
      <c r="Q474" s="3" t="str">
        <f t="shared" si="15"/>
        <v>774769297.41</v>
      </c>
      <c r="R474" t="s">
        <v>758</v>
      </c>
      <c r="S474" t="s">
        <v>60</v>
      </c>
    </row>
    <row r="475" spans="1:20" hidden="1">
      <c r="A475" t="s">
        <v>29</v>
      </c>
      <c r="B475" s="1" t="s">
        <v>544</v>
      </c>
      <c r="C475" s="1" t="s">
        <v>69</v>
      </c>
      <c r="D475" s="1" t="s">
        <v>1137</v>
      </c>
      <c r="E475" s="1" t="s">
        <v>584</v>
      </c>
      <c r="F475" s="1" t="s">
        <v>585</v>
      </c>
      <c r="G475" s="1" t="s">
        <v>752</v>
      </c>
      <c r="H475" s="1" t="s">
        <v>1135</v>
      </c>
      <c r="I475" s="1">
        <v>23</v>
      </c>
      <c r="J475" s="2">
        <v>97.41</v>
      </c>
      <c r="K475" s="2">
        <v>97.41</v>
      </c>
      <c r="L475" s="2">
        <v>97.41</v>
      </c>
      <c r="M475" s="2">
        <v>97.41</v>
      </c>
      <c r="N475" s="1" t="s">
        <v>36</v>
      </c>
      <c r="O475" s="2">
        <v>1</v>
      </c>
      <c r="P475" s="3">
        <f t="shared" si="14"/>
        <v>73.057500000000005</v>
      </c>
      <c r="Q475" s="3" t="str">
        <f t="shared" si="15"/>
        <v>774769197.41</v>
      </c>
      <c r="R475" t="s">
        <v>758</v>
      </c>
      <c r="S475" t="s">
        <v>60</v>
      </c>
    </row>
    <row r="476" spans="1:20" hidden="1">
      <c r="A476" t="s">
        <v>29</v>
      </c>
      <c r="B476" s="1" t="s">
        <v>544</v>
      </c>
      <c r="C476" s="1" t="s">
        <v>69</v>
      </c>
      <c r="D476" s="1" t="s">
        <v>1138</v>
      </c>
      <c r="E476" s="1" t="s">
        <v>584</v>
      </c>
      <c r="F476" s="1" t="s">
        <v>585</v>
      </c>
      <c r="G476" s="1" t="s">
        <v>752</v>
      </c>
      <c r="H476" s="1" t="s">
        <v>1135</v>
      </c>
      <c r="I476" s="1">
        <v>23</v>
      </c>
      <c r="J476" s="2">
        <v>97.41</v>
      </c>
      <c r="K476" s="2">
        <v>97.41</v>
      </c>
      <c r="L476" s="2">
        <v>97.41</v>
      </c>
      <c r="M476" s="2">
        <v>97.41</v>
      </c>
      <c r="N476" s="1" t="s">
        <v>36</v>
      </c>
      <c r="O476" s="2">
        <v>1</v>
      </c>
      <c r="P476" s="3">
        <f t="shared" si="14"/>
        <v>73.057500000000005</v>
      </c>
      <c r="Q476" s="3" t="str">
        <f t="shared" si="15"/>
        <v>774763097.41</v>
      </c>
      <c r="R476" t="s">
        <v>758</v>
      </c>
      <c r="S476" t="s">
        <v>60</v>
      </c>
    </row>
    <row r="477" spans="1:20" hidden="1">
      <c r="A477" t="s">
        <v>29</v>
      </c>
      <c r="B477" s="1" t="s">
        <v>544</v>
      </c>
      <c r="C477" s="1" t="s">
        <v>69</v>
      </c>
      <c r="D477" s="1" t="s">
        <v>1139</v>
      </c>
      <c r="E477" s="1" t="s">
        <v>584</v>
      </c>
      <c r="F477" s="1" t="s">
        <v>585</v>
      </c>
      <c r="G477" s="1" t="s">
        <v>752</v>
      </c>
      <c r="H477" s="1" t="s">
        <v>1135</v>
      </c>
      <c r="I477" s="1">
        <v>23</v>
      </c>
      <c r="J477" s="2">
        <v>97.41</v>
      </c>
      <c r="K477" s="2">
        <v>97.41</v>
      </c>
      <c r="L477" s="2">
        <v>97.41</v>
      </c>
      <c r="M477" s="2">
        <v>97.41</v>
      </c>
      <c r="N477" s="1" t="s">
        <v>36</v>
      </c>
      <c r="O477" s="2">
        <v>1</v>
      </c>
      <c r="P477" s="3">
        <f t="shared" si="14"/>
        <v>73.057500000000005</v>
      </c>
      <c r="Q477" s="3" t="str">
        <f t="shared" si="15"/>
        <v>774766597.41</v>
      </c>
      <c r="R477" t="s">
        <v>758</v>
      </c>
      <c r="S477" t="s">
        <v>60</v>
      </c>
    </row>
    <row r="478" spans="1:20" hidden="1">
      <c r="A478" t="s">
        <v>29</v>
      </c>
      <c r="B478" s="1" t="s">
        <v>544</v>
      </c>
      <c r="C478" s="1" t="s">
        <v>69</v>
      </c>
      <c r="D478" s="1" t="s">
        <v>1140</v>
      </c>
      <c r="E478" s="1" t="s">
        <v>580</v>
      </c>
      <c r="F478" s="1" t="s">
        <v>581</v>
      </c>
      <c r="G478" s="1" t="s">
        <v>1141</v>
      </c>
      <c r="H478" s="1" t="s">
        <v>1135</v>
      </c>
      <c r="I478" s="1">
        <v>23</v>
      </c>
      <c r="J478" s="2">
        <v>9563.5300000000007</v>
      </c>
      <c r="K478" s="2">
        <v>9563.5290000000005</v>
      </c>
      <c r="L478" s="2">
        <v>6780</v>
      </c>
      <c r="M478" s="2">
        <v>6780</v>
      </c>
      <c r="N478" s="1" t="s">
        <v>45</v>
      </c>
      <c r="O478" s="2">
        <v>1.41055</v>
      </c>
      <c r="P478" s="3">
        <f t="shared" si="14"/>
        <v>6780</v>
      </c>
      <c r="Q478" s="3" t="str">
        <f t="shared" si="15"/>
        <v>1312356780</v>
      </c>
      <c r="R478" t="s">
        <v>74</v>
      </c>
      <c r="S478" t="s">
        <v>60</v>
      </c>
      <c r="T478" t="s">
        <v>102</v>
      </c>
    </row>
    <row r="479" spans="1:20" hidden="1">
      <c r="A479" t="s">
        <v>29</v>
      </c>
      <c r="B479" s="1" t="s">
        <v>544</v>
      </c>
      <c r="C479" s="1" t="s">
        <v>69</v>
      </c>
      <c r="D479" s="1" t="s">
        <v>1142</v>
      </c>
      <c r="E479" s="1" t="s">
        <v>53</v>
      </c>
      <c r="F479" s="1" t="s">
        <v>54</v>
      </c>
      <c r="G479" s="1" t="s">
        <v>1143</v>
      </c>
      <c r="H479" s="1" t="s">
        <v>1135</v>
      </c>
      <c r="I479" s="1">
        <v>23</v>
      </c>
      <c r="J479" s="2">
        <v>159.15</v>
      </c>
      <c r="K479" s="2">
        <v>159.1523565</v>
      </c>
      <c r="L479" s="2">
        <v>112.83</v>
      </c>
      <c r="M479" s="2">
        <v>112.83</v>
      </c>
      <c r="N479" s="1" t="s">
        <v>45</v>
      </c>
      <c r="O479" s="2">
        <v>1.41055</v>
      </c>
      <c r="P479" s="3">
        <f t="shared" si="14"/>
        <v>112.83</v>
      </c>
      <c r="Q479" s="3" t="str">
        <f t="shared" si="15"/>
        <v>118349149112.83</v>
      </c>
      <c r="R479" t="s">
        <v>37</v>
      </c>
    </row>
    <row r="480" spans="1:20" hidden="1">
      <c r="A480" t="s">
        <v>29</v>
      </c>
      <c r="B480" s="1" t="s">
        <v>544</v>
      </c>
      <c r="C480" s="1" t="s">
        <v>69</v>
      </c>
      <c r="D480" s="1" t="s">
        <v>1144</v>
      </c>
      <c r="E480" s="1" t="s">
        <v>334</v>
      </c>
      <c r="F480" s="1" t="s">
        <v>335</v>
      </c>
      <c r="G480" s="1" t="s">
        <v>877</v>
      </c>
      <c r="H480" s="1" t="s">
        <v>1135</v>
      </c>
      <c r="I480" s="1">
        <v>23</v>
      </c>
      <c r="J480" s="2">
        <v>72.81</v>
      </c>
      <c r="K480" s="2">
        <v>72.812590999999998</v>
      </c>
      <c r="L480" s="2">
        <v>51.62</v>
      </c>
      <c r="M480" s="2">
        <v>51.62</v>
      </c>
      <c r="N480" s="1" t="s">
        <v>45</v>
      </c>
      <c r="O480" s="2">
        <v>1.41055</v>
      </c>
      <c r="P480" s="3">
        <f t="shared" si="14"/>
        <v>51.62</v>
      </c>
      <c r="Q480" s="3" t="str">
        <f t="shared" si="15"/>
        <v>290844609251.62</v>
      </c>
      <c r="R480" t="s">
        <v>91</v>
      </c>
      <c r="S480" t="s">
        <v>60</v>
      </c>
      <c r="T480" t="s">
        <v>102</v>
      </c>
    </row>
    <row r="481" spans="1:20" hidden="1">
      <c r="A481" t="s">
        <v>29</v>
      </c>
      <c r="B481" s="1" t="s">
        <v>544</v>
      </c>
      <c r="C481" s="1" t="s">
        <v>69</v>
      </c>
      <c r="D481" s="1" t="s">
        <v>1145</v>
      </c>
      <c r="E481" s="1" t="s">
        <v>616</v>
      </c>
      <c r="F481" s="1" t="s">
        <v>222</v>
      </c>
      <c r="G481" s="1" t="s">
        <v>1146</v>
      </c>
      <c r="H481" s="1" t="s">
        <v>1135</v>
      </c>
      <c r="I481" s="1">
        <v>23</v>
      </c>
      <c r="J481" s="2">
        <v>48</v>
      </c>
      <c r="K481" s="2">
        <v>48</v>
      </c>
      <c r="L481" s="2">
        <v>48</v>
      </c>
      <c r="M481" s="2">
        <v>48</v>
      </c>
      <c r="N481" s="1" t="s">
        <v>36</v>
      </c>
      <c r="O481" s="2">
        <v>1</v>
      </c>
      <c r="P481" s="3">
        <f t="shared" si="14"/>
        <v>36</v>
      </c>
      <c r="Q481" s="3" t="str">
        <f t="shared" si="15"/>
        <v>FGL000491348</v>
      </c>
      <c r="R481" t="s">
        <v>758</v>
      </c>
      <c r="S481" t="s">
        <v>60</v>
      </c>
    </row>
    <row r="482" spans="1:20" hidden="1">
      <c r="A482" t="s">
        <v>29</v>
      </c>
      <c r="B482" s="1" t="s">
        <v>710</v>
      </c>
      <c r="C482" s="1" t="s">
        <v>69</v>
      </c>
      <c r="D482" s="1" t="s">
        <v>1147</v>
      </c>
      <c r="E482" s="1" t="s">
        <v>928</v>
      </c>
      <c r="F482" s="1" t="s">
        <v>929</v>
      </c>
      <c r="G482" s="1" t="s">
        <v>1148</v>
      </c>
      <c r="H482" s="1" t="s">
        <v>1135</v>
      </c>
      <c r="I482" s="1">
        <v>23</v>
      </c>
      <c r="J482" s="2">
        <v>61357.21</v>
      </c>
      <c r="K482" s="2">
        <v>61357.207275000001</v>
      </c>
      <c r="L482" s="2">
        <v>43925</v>
      </c>
      <c r="M482" s="2">
        <v>43925</v>
      </c>
      <c r="N482" s="1" t="s">
        <v>45</v>
      </c>
      <c r="O482" s="2">
        <v>1.396863</v>
      </c>
      <c r="P482" s="3">
        <f t="shared" si="14"/>
        <v>43925</v>
      </c>
      <c r="Q482" s="3" t="str">
        <f t="shared" si="15"/>
        <v>541443925</v>
      </c>
    </row>
    <row r="483" spans="1:20" hidden="1">
      <c r="A483" t="s">
        <v>29</v>
      </c>
      <c r="B483" s="1" t="s">
        <v>553</v>
      </c>
      <c r="C483" s="1" t="s">
        <v>69</v>
      </c>
      <c r="D483" s="1" t="s">
        <v>1149</v>
      </c>
      <c r="E483" s="1" t="s">
        <v>334</v>
      </c>
      <c r="F483" s="1" t="s">
        <v>335</v>
      </c>
      <c r="G483" s="1" t="s">
        <v>1062</v>
      </c>
      <c r="H483" s="1" t="s">
        <v>1150</v>
      </c>
      <c r="I483" s="1">
        <v>22</v>
      </c>
      <c r="J483" s="2">
        <v>5833.72</v>
      </c>
      <c r="K483" s="2">
        <v>5833.7244790000004</v>
      </c>
      <c r="L483" s="2">
        <v>4135.78</v>
      </c>
      <c r="M483" s="2">
        <v>4135.78</v>
      </c>
      <c r="N483" s="1" t="s">
        <v>45</v>
      </c>
      <c r="O483" s="2">
        <v>1.41055</v>
      </c>
      <c r="P483" s="3">
        <f t="shared" si="14"/>
        <v>4135.78</v>
      </c>
      <c r="Q483" s="3" t="str">
        <f t="shared" si="15"/>
        <v>29084470204135.78</v>
      </c>
      <c r="R483" t="s">
        <v>91</v>
      </c>
      <c r="S483" t="s">
        <v>60</v>
      </c>
      <c r="T483" t="s">
        <v>102</v>
      </c>
    </row>
    <row r="484" spans="1:20" hidden="1">
      <c r="A484" t="s">
        <v>29</v>
      </c>
      <c r="B484" s="1" t="s">
        <v>553</v>
      </c>
      <c r="C484" s="1" t="s">
        <v>69</v>
      </c>
      <c r="D484" s="1" t="s">
        <v>1151</v>
      </c>
      <c r="E484" s="1" t="s">
        <v>334</v>
      </c>
      <c r="F484" s="1" t="s">
        <v>335</v>
      </c>
      <c r="G484" s="1" t="s">
        <v>877</v>
      </c>
      <c r="H484" s="1" t="s">
        <v>1150</v>
      </c>
      <c r="I484" s="1">
        <v>22</v>
      </c>
      <c r="J484" s="2">
        <v>447.89</v>
      </c>
      <c r="K484" s="2">
        <v>447.89194149999997</v>
      </c>
      <c r="L484" s="2">
        <v>317.52999999999997</v>
      </c>
      <c r="M484" s="2">
        <v>317.52999999999997</v>
      </c>
      <c r="N484" s="1" t="s">
        <v>45</v>
      </c>
      <c r="O484" s="2">
        <v>1.41055</v>
      </c>
      <c r="P484" s="3">
        <f t="shared" si="14"/>
        <v>317.52999999999997</v>
      </c>
      <c r="Q484" s="3" t="str">
        <f t="shared" si="15"/>
        <v>2908447022317.53</v>
      </c>
      <c r="R484" t="s">
        <v>91</v>
      </c>
      <c r="S484" t="s">
        <v>60</v>
      </c>
      <c r="T484" t="s">
        <v>102</v>
      </c>
    </row>
    <row r="485" spans="1:20" hidden="1">
      <c r="A485" t="s">
        <v>29</v>
      </c>
      <c r="B485" s="1" t="s">
        <v>553</v>
      </c>
      <c r="C485" s="1" t="s">
        <v>69</v>
      </c>
      <c r="D485" s="1" t="s">
        <v>1152</v>
      </c>
      <c r="E485" s="1" t="s">
        <v>334</v>
      </c>
      <c r="F485" s="1" t="s">
        <v>335</v>
      </c>
      <c r="G485" s="1" t="s">
        <v>1062</v>
      </c>
      <c r="H485" s="1" t="s">
        <v>1150</v>
      </c>
      <c r="I485" s="1">
        <v>22</v>
      </c>
      <c r="J485" s="2">
        <v>5573.27</v>
      </c>
      <c r="K485" s="2">
        <v>5573.2664215000004</v>
      </c>
      <c r="L485" s="2">
        <v>3951.13</v>
      </c>
      <c r="M485" s="2">
        <v>3951.13</v>
      </c>
      <c r="N485" s="1" t="s">
        <v>45</v>
      </c>
      <c r="O485" s="2">
        <v>1.41055</v>
      </c>
      <c r="P485" s="3">
        <f t="shared" si="14"/>
        <v>3951.13</v>
      </c>
      <c r="Q485" s="3" t="str">
        <f t="shared" si="15"/>
        <v>29084477193951.13</v>
      </c>
      <c r="R485" t="s">
        <v>91</v>
      </c>
      <c r="S485" t="s">
        <v>60</v>
      </c>
      <c r="T485" t="s">
        <v>102</v>
      </c>
    </row>
    <row r="486" spans="1:20" hidden="1">
      <c r="A486" t="s">
        <v>29</v>
      </c>
      <c r="B486" s="1" t="s">
        <v>553</v>
      </c>
      <c r="C486" s="1" t="s">
        <v>69</v>
      </c>
      <c r="D486" s="1" t="s">
        <v>1153</v>
      </c>
      <c r="E486" s="1" t="s">
        <v>334</v>
      </c>
      <c r="F486" s="1" t="s">
        <v>335</v>
      </c>
      <c r="G486" s="1" t="s">
        <v>1154</v>
      </c>
      <c r="H486" s="1" t="s">
        <v>1150</v>
      </c>
      <c r="I486" s="1">
        <v>22</v>
      </c>
      <c r="J486" s="2">
        <v>18.22</v>
      </c>
      <c r="K486" s="2">
        <v>18.224305999999999</v>
      </c>
      <c r="L486" s="2">
        <v>12.92</v>
      </c>
      <c r="M486" s="2">
        <v>12.92</v>
      </c>
      <c r="N486" s="1" t="s">
        <v>45</v>
      </c>
      <c r="O486" s="2">
        <v>1.41055</v>
      </c>
      <c r="P486" s="3">
        <f t="shared" si="14"/>
        <v>12.92</v>
      </c>
      <c r="Q486" s="3" t="str">
        <f t="shared" si="15"/>
        <v>290844802912.92</v>
      </c>
      <c r="R486" t="s">
        <v>91</v>
      </c>
      <c r="S486" t="s">
        <v>60</v>
      </c>
      <c r="T486" t="s">
        <v>102</v>
      </c>
    </row>
    <row r="487" spans="1:20" hidden="1">
      <c r="A487" t="s">
        <v>29</v>
      </c>
      <c r="B487" s="1" t="s">
        <v>553</v>
      </c>
      <c r="C487" s="1" t="s">
        <v>69</v>
      </c>
      <c r="D487" s="1" t="s">
        <v>1155</v>
      </c>
      <c r="E487" s="1" t="s">
        <v>334</v>
      </c>
      <c r="F487" s="1" t="s">
        <v>335</v>
      </c>
      <c r="G487" s="1" t="s">
        <v>877</v>
      </c>
      <c r="H487" s="1" t="s">
        <v>1150</v>
      </c>
      <c r="I487" s="1">
        <v>22</v>
      </c>
      <c r="J487" s="2">
        <v>245.92</v>
      </c>
      <c r="K487" s="2">
        <v>245.91528700000001</v>
      </c>
      <c r="L487" s="2">
        <v>174.34</v>
      </c>
      <c r="M487" s="2">
        <v>174.34</v>
      </c>
      <c r="N487" s="1" t="s">
        <v>45</v>
      </c>
      <c r="O487" s="2">
        <v>1.41055</v>
      </c>
      <c r="P487" s="3">
        <f t="shared" si="14"/>
        <v>174.34</v>
      </c>
      <c r="Q487" s="3" t="str">
        <f t="shared" si="15"/>
        <v>2908448361174.34</v>
      </c>
      <c r="R487" t="s">
        <v>91</v>
      </c>
      <c r="S487" t="s">
        <v>60</v>
      </c>
      <c r="T487" t="s">
        <v>102</v>
      </c>
    </row>
    <row r="488" spans="1:20" hidden="1">
      <c r="A488" t="s">
        <v>29</v>
      </c>
      <c r="B488" s="1" t="s">
        <v>553</v>
      </c>
      <c r="C488" s="1" t="s">
        <v>69</v>
      </c>
      <c r="D488" s="1" t="s">
        <v>1156</v>
      </c>
      <c r="E488" s="1" t="s">
        <v>334</v>
      </c>
      <c r="F488" s="1" t="s">
        <v>335</v>
      </c>
      <c r="G488" s="1" t="s">
        <v>655</v>
      </c>
      <c r="H488" s="1" t="s">
        <v>1150</v>
      </c>
      <c r="I488" s="1">
        <v>22</v>
      </c>
      <c r="J488" s="2">
        <v>26360.36</v>
      </c>
      <c r="K488" s="2">
        <v>26360.358400000001</v>
      </c>
      <c r="L488" s="2">
        <v>18688</v>
      </c>
      <c r="M488" s="2">
        <v>18688</v>
      </c>
      <c r="N488" s="1" t="s">
        <v>45</v>
      </c>
      <c r="O488" s="2">
        <v>1.41055</v>
      </c>
      <c r="P488" s="3">
        <f t="shared" si="14"/>
        <v>18688</v>
      </c>
      <c r="Q488" s="3" t="str">
        <f t="shared" si="15"/>
        <v>190973963618688</v>
      </c>
      <c r="R488" t="s">
        <v>91</v>
      </c>
      <c r="S488" t="s">
        <v>60</v>
      </c>
      <c r="T488" t="s">
        <v>102</v>
      </c>
    </row>
    <row r="489" spans="1:20" hidden="1">
      <c r="A489" t="s">
        <v>29</v>
      </c>
      <c r="B489" s="1" t="s">
        <v>1157</v>
      </c>
      <c r="C489" s="1" t="s">
        <v>69</v>
      </c>
      <c r="D489" s="1" t="s">
        <v>1158</v>
      </c>
      <c r="E489" s="1" t="s">
        <v>334</v>
      </c>
      <c r="F489" s="1" t="s">
        <v>335</v>
      </c>
      <c r="G489" s="1" t="s">
        <v>1118</v>
      </c>
      <c r="H489" s="1" t="s">
        <v>1159</v>
      </c>
      <c r="I489" s="1">
        <v>21</v>
      </c>
      <c r="J489" s="2">
        <v>527.51</v>
      </c>
      <c r="K489" s="2">
        <v>527.51024025000004</v>
      </c>
      <c r="L489" s="2">
        <v>374.25</v>
      </c>
      <c r="M489" s="2">
        <v>374.25</v>
      </c>
      <c r="N489" s="1" t="s">
        <v>45</v>
      </c>
      <c r="O489" s="2">
        <v>1.409513</v>
      </c>
      <c r="P489" s="3">
        <f t="shared" si="14"/>
        <v>374.25</v>
      </c>
      <c r="Q489" s="3" t="str">
        <f t="shared" si="15"/>
        <v>2908448879374.25</v>
      </c>
      <c r="R489" t="s">
        <v>91</v>
      </c>
      <c r="S489" t="s">
        <v>60</v>
      </c>
      <c r="T489" t="s">
        <v>102</v>
      </c>
    </row>
    <row r="490" spans="1:20" hidden="1">
      <c r="A490" t="s">
        <v>29</v>
      </c>
      <c r="B490" s="1" t="s">
        <v>1157</v>
      </c>
      <c r="C490" s="1" t="s">
        <v>69</v>
      </c>
      <c r="D490" s="1" t="s">
        <v>1160</v>
      </c>
      <c r="E490" s="1" t="s">
        <v>334</v>
      </c>
      <c r="F490" s="1" t="s">
        <v>335</v>
      </c>
      <c r="G490" s="1" t="s">
        <v>1161</v>
      </c>
      <c r="H490" s="1" t="s">
        <v>1159</v>
      </c>
      <c r="I490" s="1">
        <v>21</v>
      </c>
      <c r="J490" s="2">
        <v>3938.69</v>
      </c>
      <c r="K490" s="2">
        <v>3938.6867466799999</v>
      </c>
      <c r="L490" s="2">
        <v>2794.36</v>
      </c>
      <c r="M490" s="2">
        <v>2794.36</v>
      </c>
      <c r="N490" s="1" t="s">
        <v>45</v>
      </c>
      <c r="O490" s="2">
        <v>1.409513</v>
      </c>
      <c r="P490" s="3">
        <f t="shared" si="14"/>
        <v>2794.36</v>
      </c>
      <c r="Q490" s="3" t="str">
        <f t="shared" si="15"/>
        <v>29084488832794.36</v>
      </c>
      <c r="R490" t="s">
        <v>91</v>
      </c>
      <c r="S490" t="s">
        <v>60</v>
      </c>
      <c r="T490" t="s">
        <v>102</v>
      </c>
    </row>
    <row r="491" spans="1:20" hidden="1">
      <c r="A491" t="s">
        <v>29</v>
      </c>
      <c r="B491" s="1" t="s">
        <v>1157</v>
      </c>
      <c r="C491" s="1" t="s">
        <v>69</v>
      </c>
      <c r="D491" s="1" t="s">
        <v>1162</v>
      </c>
      <c r="E491" s="1" t="s">
        <v>334</v>
      </c>
      <c r="F491" s="1" t="s">
        <v>335</v>
      </c>
      <c r="G491" s="1" t="s">
        <v>1118</v>
      </c>
      <c r="H491" s="1" t="s">
        <v>1159</v>
      </c>
      <c r="I491" s="1">
        <v>21</v>
      </c>
      <c r="J491" s="2">
        <v>614.36</v>
      </c>
      <c r="K491" s="2">
        <v>614.36443130999999</v>
      </c>
      <c r="L491" s="2">
        <v>435.87</v>
      </c>
      <c r="M491" s="2">
        <v>435.87</v>
      </c>
      <c r="N491" s="1" t="s">
        <v>45</v>
      </c>
      <c r="O491" s="2">
        <v>1.409513</v>
      </c>
      <c r="P491" s="3">
        <f t="shared" si="14"/>
        <v>435.87</v>
      </c>
      <c r="Q491" s="3" t="str">
        <f t="shared" si="15"/>
        <v>2908449520435.87</v>
      </c>
      <c r="R491" t="s">
        <v>91</v>
      </c>
      <c r="S491" t="s">
        <v>60</v>
      </c>
      <c r="T491" t="s">
        <v>102</v>
      </c>
    </row>
    <row r="492" spans="1:20" hidden="1">
      <c r="A492" t="s">
        <v>29</v>
      </c>
      <c r="B492" s="1" t="s">
        <v>1157</v>
      </c>
      <c r="C492" s="1" t="s">
        <v>69</v>
      </c>
      <c r="D492" s="1" t="s">
        <v>1163</v>
      </c>
      <c r="E492" s="1" t="s">
        <v>334</v>
      </c>
      <c r="F492" s="1" t="s">
        <v>335</v>
      </c>
      <c r="G492" s="1" t="s">
        <v>1118</v>
      </c>
      <c r="H492" s="1" t="s">
        <v>1159</v>
      </c>
      <c r="I492" s="1">
        <v>21</v>
      </c>
      <c r="J492" s="2">
        <v>474.55</v>
      </c>
      <c r="K492" s="2">
        <v>474.55483684000001</v>
      </c>
      <c r="L492" s="2">
        <v>336.68</v>
      </c>
      <c r="M492" s="2">
        <v>336.68</v>
      </c>
      <c r="N492" s="1" t="s">
        <v>45</v>
      </c>
      <c r="O492" s="2">
        <v>1.409513</v>
      </c>
      <c r="P492" s="3">
        <f t="shared" si="14"/>
        <v>336.68</v>
      </c>
      <c r="Q492" s="3" t="str">
        <f t="shared" si="15"/>
        <v>2908450073336.68</v>
      </c>
      <c r="R492" t="s">
        <v>91</v>
      </c>
      <c r="S492" t="s">
        <v>60</v>
      </c>
      <c r="T492" t="s">
        <v>102</v>
      </c>
    </row>
    <row r="493" spans="1:20" hidden="1">
      <c r="A493" t="s">
        <v>29</v>
      </c>
      <c r="B493" s="1" t="s">
        <v>1157</v>
      </c>
      <c r="C493" s="1" t="s">
        <v>69</v>
      </c>
      <c r="D493" s="1" t="s">
        <v>1164</v>
      </c>
      <c r="E493" s="1" t="s">
        <v>334</v>
      </c>
      <c r="F493" s="1" t="s">
        <v>335</v>
      </c>
      <c r="G493" s="1" t="s">
        <v>1165</v>
      </c>
      <c r="H493" s="1" t="s">
        <v>1159</v>
      </c>
      <c r="I493" s="1">
        <v>21</v>
      </c>
      <c r="J493" s="2">
        <v>5475.23</v>
      </c>
      <c r="K493" s="2">
        <v>5475.2250582400002</v>
      </c>
      <c r="L493" s="2">
        <v>3884.48</v>
      </c>
      <c r="M493" s="2">
        <v>3884.48</v>
      </c>
      <c r="N493" s="1" t="s">
        <v>45</v>
      </c>
      <c r="O493" s="2">
        <v>1.409513</v>
      </c>
      <c r="P493" s="3">
        <f t="shared" si="14"/>
        <v>3884.48</v>
      </c>
      <c r="Q493" s="3" t="str">
        <f t="shared" si="15"/>
        <v>29084501843884.48</v>
      </c>
      <c r="R493" t="s">
        <v>91</v>
      </c>
      <c r="S493" t="s">
        <v>60</v>
      </c>
      <c r="T493" t="s">
        <v>102</v>
      </c>
    </row>
    <row r="494" spans="1:20" hidden="1">
      <c r="A494" t="s">
        <v>29</v>
      </c>
      <c r="B494" s="1" t="s">
        <v>1157</v>
      </c>
      <c r="C494" s="1" t="s">
        <v>69</v>
      </c>
      <c r="D494" s="1" t="s">
        <v>1166</v>
      </c>
      <c r="E494" s="1" t="s">
        <v>334</v>
      </c>
      <c r="F494" s="1" t="s">
        <v>335</v>
      </c>
      <c r="G494" s="1" t="s">
        <v>1118</v>
      </c>
      <c r="H494" s="1" t="s">
        <v>1159</v>
      </c>
      <c r="I494" s="1">
        <v>21</v>
      </c>
      <c r="J494" s="2">
        <v>599.52</v>
      </c>
      <c r="K494" s="2">
        <v>599.52225941999995</v>
      </c>
      <c r="L494" s="2">
        <v>425.34</v>
      </c>
      <c r="M494" s="2">
        <v>425.34</v>
      </c>
      <c r="N494" s="1" t="s">
        <v>45</v>
      </c>
      <c r="O494" s="2">
        <v>1.409513</v>
      </c>
      <c r="P494" s="3">
        <f t="shared" si="14"/>
        <v>425.34</v>
      </c>
      <c r="Q494" s="3" t="str">
        <f t="shared" si="15"/>
        <v>2908450391425.34</v>
      </c>
      <c r="R494" t="s">
        <v>91</v>
      </c>
      <c r="S494" t="s">
        <v>60</v>
      </c>
      <c r="T494" t="s">
        <v>102</v>
      </c>
    </row>
    <row r="495" spans="1:20" hidden="1">
      <c r="A495" t="s">
        <v>29</v>
      </c>
      <c r="B495" s="1" t="s">
        <v>851</v>
      </c>
      <c r="C495" s="1" t="s">
        <v>69</v>
      </c>
      <c r="D495" s="1" t="s">
        <v>1167</v>
      </c>
      <c r="E495" s="1" t="s">
        <v>156</v>
      </c>
      <c r="F495" s="1" t="s">
        <v>156</v>
      </c>
      <c r="G495" s="1" t="s">
        <v>865</v>
      </c>
      <c r="H495" s="1" t="s">
        <v>1159</v>
      </c>
      <c r="I495" s="1">
        <v>21</v>
      </c>
      <c r="J495" s="2">
        <v>4118.2700000000004</v>
      </c>
      <c r="K495" s="2">
        <v>4118.2700000000004</v>
      </c>
      <c r="L495" s="2">
        <v>4118.2700000000004</v>
      </c>
      <c r="M495" s="2">
        <v>4118.2700000000004</v>
      </c>
      <c r="N495" s="1" t="s">
        <v>36</v>
      </c>
      <c r="O495" s="2">
        <v>1</v>
      </c>
      <c r="P495" s="3">
        <f t="shared" si="14"/>
        <v>3088.7025000000003</v>
      </c>
      <c r="Q495" s="3" t="str">
        <f t="shared" si="15"/>
        <v>2-702-022024118.27</v>
      </c>
    </row>
    <row r="496" spans="1:20" hidden="1">
      <c r="A496" t="s">
        <v>29</v>
      </c>
      <c r="B496" s="1" t="s">
        <v>555</v>
      </c>
      <c r="C496" s="1" t="s">
        <v>69</v>
      </c>
      <c r="D496" s="1" t="s">
        <v>1168</v>
      </c>
      <c r="E496" s="1" t="s">
        <v>221</v>
      </c>
      <c r="F496" s="1" t="s">
        <v>222</v>
      </c>
      <c r="G496" s="1" t="s">
        <v>784</v>
      </c>
      <c r="H496" s="1" t="s">
        <v>1169</v>
      </c>
      <c r="I496" s="1">
        <v>20</v>
      </c>
      <c r="J496" s="2">
        <v>7788.96</v>
      </c>
      <c r="K496" s="2">
        <v>7788.9554349999999</v>
      </c>
      <c r="L496" s="2">
        <v>5517.5</v>
      </c>
      <c r="M496" s="2">
        <v>5517.5</v>
      </c>
      <c r="N496" s="1" t="s">
        <v>45</v>
      </c>
      <c r="O496" s="2">
        <v>1.4116820000000001</v>
      </c>
      <c r="P496" s="3">
        <f t="shared" si="14"/>
        <v>5517.5</v>
      </c>
      <c r="Q496" s="3" t="str">
        <f t="shared" si="15"/>
        <v>FGL00049245517.5</v>
      </c>
      <c r="R496" t="s">
        <v>758</v>
      </c>
      <c r="S496" t="s">
        <v>60</v>
      </c>
    </row>
    <row r="497" spans="1:20" hidden="1">
      <c r="A497" t="s">
        <v>29</v>
      </c>
      <c r="B497" s="1" t="s">
        <v>555</v>
      </c>
      <c r="C497" s="1" t="s">
        <v>69</v>
      </c>
      <c r="D497" s="1" t="s">
        <v>1170</v>
      </c>
      <c r="E497" s="1" t="s">
        <v>150</v>
      </c>
      <c r="F497" s="1" t="s">
        <v>151</v>
      </c>
      <c r="G497" s="1" t="s">
        <v>1171</v>
      </c>
      <c r="H497" s="1" t="s">
        <v>1169</v>
      </c>
      <c r="I497" s="1">
        <v>20</v>
      </c>
      <c r="J497" s="2">
        <v>5546.04</v>
      </c>
      <c r="K497" s="2">
        <v>5546.04</v>
      </c>
      <c r="L497" s="2">
        <v>5546.04</v>
      </c>
      <c r="M497" s="2">
        <v>5546.04</v>
      </c>
      <c r="N497" s="1" t="s">
        <v>36</v>
      </c>
      <c r="O497" s="2">
        <v>1</v>
      </c>
      <c r="P497" s="3">
        <f t="shared" si="14"/>
        <v>4159.53</v>
      </c>
      <c r="Q497" s="3" t="str">
        <f t="shared" si="15"/>
        <v>CB004779435546.04</v>
      </c>
      <c r="R497" t="s">
        <v>37</v>
      </c>
      <c r="S497" t="s">
        <v>60</v>
      </c>
      <c r="T497" t="s">
        <v>102</v>
      </c>
    </row>
    <row r="498" spans="1:20" hidden="1">
      <c r="A498" t="s">
        <v>29</v>
      </c>
      <c r="B498" s="1" t="s">
        <v>555</v>
      </c>
      <c r="C498" s="1" t="s">
        <v>69</v>
      </c>
      <c r="D498" s="1" t="s">
        <v>1172</v>
      </c>
      <c r="E498" s="1" t="s">
        <v>1173</v>
      </c>
      <c r="F498" s="1" t="s">
        <v>1174</v>
      </c>
      <c r="G498" s="1" t="s">
        <v>1175</v>
      </c>
      <c r="H498" s="1" t="s">
        <v>1169</v>
      </c>
      <c r="I498" s="1">
        <v>20</v>
      </c>
      <c r="J498" s="2">
        <v>29493.21</v>
      </c>
      <c r="K498" s="2">
        <v>29493.213264499998</v>
      </c>
      <c r="L498" s="2">
        <v>20892.25</v>
      </c>
      <c r="M498" s="2">
        <v>20892.25</v>
      </c>
      <c r="N498" s="1" t="s">
        <v>45</v>
      </c>
      <c r="O498" s="2">
        <v>1.4116820000000001</v>
      </c>
      <c r="P498" s="3">
        <f t="shared" si="14"/>
        <v>20892.25</v>
      </c>
      <c r="Q498" s="3" t="str">
        <f t="shared" si="15"/>
        <v>SL1643820892.25</v>
      </c>
      <c r="R498" t="s">
        <v>59</v>
      </c>
      <c r="S498" t="s">
        <v>60</v>
      </c>
      <c r="T498" t="s">
        <v>102</v>
      </c>
    </row>
    <row r="499" spans="1:20" hidden="1">
      <c r="A499" t="s">
        <v>29</v>
      </c>
      <c r="B499" s="1" t="s">
        <v>555</v>
      </c>
      <c r="C499" s="1" t="s">
        <v>69</v>
      </c>
      <c r="D499" s="1" t="s">
        <v>1176</v>
      </c>
      <c r="E499" s="1" t="s">
        <v>334</v>
      </c>
      <c r="F499" s="1" t="s">
        <v>335</v>
      </c>
      <c r="G499" s="1" t="s">
        <v>1177</v>
      </c>
      <c r="H499" s="1" t="s">
        <v>1169</v>
      </c>
      <c r="I499" s="1">
        <v>20</v>
      </c>
      <c r="J499" s="2">
        <v>67.510000000000005</v>
      </c>
      <c r="K499" s="2">
        <v>67.506633239999999</v>
      </c>
      <c r="L499" s="2">
        <v>47.82</v>
      </c>
      <c r="M499" s="2">
        <v>47.82</v>
      </c>
      <c r="N499" s="1" t="s">
        <v>45</v>
      </c>
      <c r="O499" s="2">
        <v>1.4116820000000001</v>
      </c>
      <c r="P499" s="3">
        <f t="shared" si="14"/>
        <v>47.82</v>
      </c>
      <c r="Q499" s="3" t="str">
        <f t="shared" si="15"/>
        <v>290845118047.82</v>
      </c>
      <c r="R499" t="s">
        <v>91</v>
      </c>
      <c r="S499" t="s">
        <v>60</v>
      </c>
      <c r="T499" t="s">
        <v>102</v>
      </c>
    </row>
    <row r="500" spans="1:20" hidden="1">
      <c r="A500" t="s">
        <v>29</v>
      </c>
      <c r="B500" s="1" t="s">
        <v>555</v>
      </c>
      <c r="C500" s="1" t="s">
        <v>69</v>
      </c>
      <c r="D500" s="1" t="s">
        <v>1178</v>
      </c>
      <c r="E500" s="1" t="s">
        <v>334</v>
      </c>
      <c r="F500" s="1" t="s">
        <v>335</v>
      </c>
      <c r="G500" s="1" t="s">
        <v>877</v>
      </c>
      <c r="H500" s="1" t="s">
        <v>1169</v>
      </c>
      <c r="I500" s="1">
        <v>20</v>
      </c>
      <c r="J500" s="2">
        <v>204.88</v>
      </c>
      <c r="K500" s="2">
        <v>204.87740865999999</v>
      </c>
      <c r="L500" s="2">
        <v>145.13</v>
      </c>
      <c r="M500" s="2">
        <v>145.13</v>
      </c>
      <c r="N500" s="1" t="s">
        <v>45</v>
      </c>
      <c r="O500" s="2">
        <v>1.4116820000000001</v>
      </c>
      <c r="P500" s="3">
        <f t="shared" si="14"/>
        <v>145.13</v>
      </c>
      <c r="Q500" s="3" t="str">
        <f t="shared" si="15"/>
        <v>2908451181145.13</v>
      </c>
      <c r="R500" t="s">
        <v>91</v>
      </c>
      <c r="S500" t="s">
        <v>60</v>
      </c>
      <c r="T500" t="s">
        <v>102</v>
      </c>
    </row>
    <row r="501" spans="1:20" hidden="1">
      <c r="A501" t="s">
        <v>29</v>
      </c>
      <c r="B501" s="1" t="s">
        <v>555</v>
      </c>
      <c r="C501" s="1" t="s">
        <v>69</v>
      </c>
      <c r="D501" s="1" t="s">
        <v>1179</v>
      </c>
      <c r="E501" s="1" t="s">
        <v>334</v>
      </c>
      <c r="F501" s="1" t="s">
        <v>335</v>
      </c>
      <c r="G501" s="1" t="s">
        <v>1177</v>
      </c>
      <c r="H501" s="1" t="s">
        <v>1169</v>
      </c>
      <c r="I501" s="1">
        <v>20</v>
      </c>
      <c r="J501" s="2">
        <v>33.75</v>
      </c>
      <c r="K501" s="2">
        <v>33.75331662</v>
      </c>
      <c r="L501" s="2">
        <v>23.91</v>
      </c>
      <c r="M501" s="2">
        <v>23.91</v>
      </c>
      <c r="N501" s="1" t="s">
        <v>45</v>
      </c>
      <c r="O501" s="2">
        <v>1.4116820000000001</v>
      </c>
      <c r="P501" s="3">
        <f t="shared" si="14"/>
        <v>23.91</v>
      </c>
      <c r="Q501" s="3" t="str">
        <f t="shared" si="15"/>
        <v>290845163923.91</v>
      </c>
      <c r="R501" t="s">
        <v>91</v>
      </c>
      <c r="S501" t="s">
        <v>60</v>
      </c>
      <c r="T501" t="s">
        <v>102</v>
      </c>
    </row>
    <row r="502" spans="1:20" hidden="1">
      <c r="A502" t="s">
        <v>29</v>
      </c>
      <c r="B502" s="1" t="s">
        <v>555</v>
      </c>
      <c r="C502" s="1" t="s">
        <v>69</v>
      </c>
      <c r="D502" s="1" t="s">
        <v>1180</v>
      </c>
      <c r="E502" s="1" t="s">
        <v>334</v>
      </c>
      <c r="F502" s="1" t="s">
        <v>335</v>
      </c>
      <c r="G502" s="1" t="s">
        <v>1181</v>
      </c>
      <c r="H502" s="1" t="s">
        <v>1169</v>
      </c>
      <c r="I502" s="1">
        <v>20</v>
      </c>
      <c r="J502" s="2">
        <v>3331.8</v>
      </c>
      <c r="K502" s="2">
        <v>3331.79538912</v>
      </c>
      <c r="L502" s="2">
        <v>2360.16</v>
      </c>
      <c r="M502" s="2">
        <v>2360.16</v>
      </c>
      <c r="N502" s="1" t="s">
        <v>45</v>
      </c>
      <c r="O502" s="2">
        <v>1.4116820000000001</v>
      </c>
      <c r="P502" s="3">
        <f t="shared" si="14"/>
        <v>2360.16</v>
      </c>
      <c r="Q502" s="3" t="str">
        <f t="shared" si="15"/>
        <v>29084518992360.16</v>
      </c>
      <c r="R502" t="s">
        <v>91</v>
      </c>
      <c r="S502" t="s">
        <v>60</v>
      </c>
      <c r="T502" t="s">
        <v>102</v>
      </c>
    </row>
    <row r="503" spans="1:20" hidden="1">
      <c r="A503" t="s">
        <v>29</v>
      </c>
      <c r="B503" s="1" t="s">
        <v>555</v>
      </c>
      <c r="C503" s="1" t="s">
        <v>69</v>
      </c>
      <c r="D503" s="1" t="s">
        <v>1182</v>
      </c>
      <c r="E503" s="1" t="s">
        <v>334</v>
      </c>
      <c r="F503" s="1" t="s">
        <v>335</v>
      </c>
      <c r="G503" s="1" t="s">
        <v>877</v>
      </c>
      <c r="H503" s="1" t="s">
        <v>1169</v>
      </c>
      <c r="I503" s="1">
        <v>20</v>
      </c>
      <c r="J503" s="2">
        <v>119.63</v>
      </c>
      <c r="K503" s="2">
        <v>119.62593268000001</v>
      </c>
      <c r="L503" s="2">
        <v>84.74</v>
      </c>
      <c r="M503" s="2">
        <v>84.74</v>
      </c>
      <c r="N503" s="1" t="s">
        <v>45</v>
      </c>
      <c r="O503" s="2">
        <v>1.4116820000000001</v>
      </c>
      <c r="P503" s="3">
        <f t="shared" si="14"/>
        <v>84.74</v>
      </c>
      <c r="Q503" s="3" t="str">
        <f t="shared" si="15"/>
        <v>290845269784.74</v>
      </c>
      <c r="R503" t="s">
        <v>91</v>
      </c>
      <c r="S503" t="s">
        <v>60</v>
      </c>
      <c r="T503" t="s">
        <v>102</v>
      </c>
    </row>
    <row r="504" spans="1:20" hidden="1">
      <c r="A504" t="s">
        <v>29</v>
      </c>
      <c r="B504" s="1" t="s">
        <v>555</v>
      </c>
      <c r="C504" s="1" t="s">
        <v>69</v>
      </c>
      <c r="D504" s="1" t="s">
        <v>1183</v>
      </c>
      <c r="E504" s="1" t="s">
        <v>334</v>
      </c>
      <c r="F504" s="1" t="s">
        <v>335</v>
      </c>
      <c r="G504" s="1" t="s">
        <v>1165</v>
      </c>
      <c r="H504" s="1" t="s">
        <v>1169</v>
      </c>
      <c r="I504" s="1">
        <v>20</v>
      </c>
      <c r="J504" s="2">
        <v>14301.58</v>
      </c>
      <c r="K504" s="2">
        <v>14301.58094016</v>
      </c>
      <c r="L504" s="2">
        <v>10130.879999999999</v>
      </c>
      <c r="M504" s="2">
        <v>10130.879999999999</v>
      </c>
      <c r="N504" s="1" t="s">
        <v>45</v>
      </c>
      <c r="O504" s="2">
        <v>1.4116820000000001</v>
      </c>
      <c r="P504" s="3">
        <f t="shared" si="14"/>
        <v>10130.879999999999</v>
      </c>
      <c r="Q504" s="3" t="str">
        <f t="shared" si="15"/>
        <v>290845270010130.88</v>
      </c>
      <c r="R504" t="s">
        <v>91</v>
      </c>
      <c r="S504" t="s">
        <v>60</v>
      </c>
      <c r="T504" t="s">
        <v>102</v>
      </c>
    </row>
    <row r="505" spans="1:20" hidden="1">
      <c r="A505" t="s">
        <v>29</v>
      </c>
      <c r="B505" s="1" t="s">
        <v>555</v>
      </c>
      <c r="C505" s="1" t="s">
        <v>69</v>
      </c>
      <c r="D505" s="1" t="s">
        <v>1184</v>
      </c>
      <c r="E505" s="1" t="s">
        <v>334</v>
      </c>
      <c r="F505" s="1" t="s">
        <v>335</v>
      </c>
      <c r="G505" s="1" t="s">
        <v>1118</v>
      </c>
      <c r="H505" s="1" t="s">
        <v>1169</v>
      </c>
      <c r="I505" s="1">
        <v>20</v>
      </c>
      <c r="J505" s="2">
        <v>1234.8699999999999</v>
      </c>
      <c r="K505" s="2">
        <v>1234.8688294999999</v>
      </c>
      <c r="L505" s="2">
        <v>874.75</v>
      </c>
      <c r="M505" s="2">
        <v>874.75</v>
      </c>
      <c r="N505" s="1" t="s">
        <v>45</v>
      </c>
      <c r="O505" s="2">
        <v>1.4116820000000001</v>
      </c>
      <c r="P505" s="3">
        <f t="shared" si="14"/>
        <v>874.75</v>
      </c>
      <c r="Q505" s="3" t="str">
        <f t="shared" si="15"/>
        <v>2908453044874.75</v>
      </c>
      <c r="R505" t="s">
        <v>91</v>
      </c>
      <c r="S505" t="s">
        <v>60</v>
      </c>
      <c r="T505" t="s">
        <v>102</v>
      </c>
    </row>
    <row r="506" spans="1:20" hidden="1">
      <c r="A506" t="s">
        <v>29</v>
      </c>
      <c r="B506" s="1" t="s">
        <v>555</v>
      </c>
      <c r="C506" s="1" t="s">
        <v>69</v>
      </c>
      <c r="D506" s="1" t="s">
        <v>1185</v>
      </c>
      <c r="E506" s="1" t="s">
        <v>334</v>
      </c>
      <c r="F506" s="1" t="s">
        <v>335</v>
      </c>
      <c r="G506" s="1" t="s">
        <v>1186</v>
      </c>
      <c r="H506" s="1" t="s">
        <v>1169</v>
      </c>
      <c r="I506" s="1">
        <v>20</v>
      </c>
      <c r="J506" s="2">
        <v>15182.6</v>
      </c>
      <c r="K506" s="2">
        <v>15182.59755954</v>
      </c>
      <c r="L506" s="2">
        <v>10754.97</v>
      </c>
      <c r="M506" s="2">
        <v>10754.97</v>
      </c>
      <c r="N506" s="1" t="s">
        <v>45</v>
      </c>
      <c r="O506" s="2">
        <v>1.4116820000000001</v>
      </c>
      <c r="P506" s="3">
        <f t="shared" si="14"/>
        <v>10754.97</v>
      </c>
      <c r="Q506" s="3" t="str">
        <f t="shared" si="15"/>
        <v>290845304510754.97</v>
      </c>
      <c r="R506" t="s">
        <v>91</v>
      </c>
      <c r="S506" t="s">
        <v>60</v>
      </c>
      <c r="T506" t="s">
        <v>102</v>
      </c>
    </row>
    <row r="507" spans="1:20" hidden="1">
      <c r="A507" t="s">
        <v>29</v>
      </c>
      <c r="B507" s="1" t="s">
        <v>555</v>
      </c>
      <c r="C507" s="1" t="s">
        <v>69</v>
      </c>
      <c r="D507" s="1" t="s">
        <v>1187</v>
      </c>
      <c r="E507" s="1" t="s">
        <v>71</v>
      </c>
      <c r="F507" s="1" t="s">
        <v>72</v>
      </c>
      <c r="G507" s="1" t="s">
        <v>943</v>
      </c>
      <c r="H507" s="1" t="s">
        <v>1169</v>
      </c>
      <c r="I507" s="1">
        <v>20</v>
      </c>
      <c r="J507" s="2">
        <v>956164.15</v>
      </c>
      <c r="K507" s="2">
        <v>956164.15084684</v>
      </c>
      <c r="L507" s="2">
        <v>677322.62</v>
      </c>
      <c r="M507" s="2">
        <v>677322.62</v>
      </c>
      <c r="N507" s="1" t="s">
        <v>45</v>
      </c>
      <c r="O507" s="2">
        <v>1.4116820000000001</v>
      </c>
      <c r="P507" s="3">
        <f t="shared" si="14"/>
        <v>677322.62</v>
      </c>
      <c r="Q507" s="3" t="str">
        <f t="shared" si="15"/>
        <v>91909194677322.62</v>
      </c>
      <c r="R507" t="s">
        <v>74</v>
      </c>
      <c r="S507" t="s">
        <v>60</v>
      </c>
      <c r="T507" t="s">
        <v>102</v>
      </c>
    </row>
    <row r="508" spans="1:20" hidden="1">
      <c r="A508" t="s">
        <v>29</v>
      </c>
      <c r="B508" s="1" t="s">
        <v>555</v>
      </c>
      <c r="C508" s="1" t="s">
        <v>69</v>
      </c>
      <c r="D508" s="1" t="s">
        <v>1188</v>
      </c>
      <c r="E508" s="1" t="s">
        <v>580</v>
      </c>
      <c r="F508" s="1" t="s">
        <v>581</v>
      </c>
      <c r="G508" s="1" t="s">
        <v>582</v>
      </c>
      <c r="H508" s="1" t="s">
        <v>1169</v>
      </c>
      <c r="I508" s="1">
        <v>20</v>
      </c>
      <c r="J508" s="2">
        <v>5881.12</v>
      </c>
      <c r="K508" s="2">
        <v>5881.12367928</v>
      </c>
      <c r="L508" s="2">
        <v>4166.04</v>
      </c>
      <c r="M508" s="2">
        <v>4166.04</v>
      </c>
      <c r="N508" s="1" t="s">
        <v>45</v>
      </c>
      <c r="O508" s="2">
        <v>1.4116820000000001</v>
      </c>
      <c r="P508" s="3">
        <f t="shared" si="14"/>
        <v>4166.04</v>
      </c>
      <c r="Q508" s="3" t="str">
        <f t="shared" si="15"/>
        <v>1312524166.04</v>
      </c>
      <c r="R508" t="s">
        <v>74</v>
      </c>
      <c r="S508" t="s">
        <v>60</v>
      </c>
      <c r="T508" t="s">
        <v>102</v>
      </c>
    </row>
    <row r="509" spans="1:20" hidden="1">
      <c r="A509" t="s">
        <v>29</v>
      </c>
      <c r="B509" s="1" t="s">
        <v>555</v>
      </c>
      <c r="C509" s="1" t="s">
        <v>69</v>
      </c>
      <c r="D509" s="1" t="s">
        <v>1189</v>
      </c>
      <c r="E509" s="1" t="s">
        <v>405</v>
      </c>
      <c r="F509" s="1" t="s">
        <v>405</v>
      </c>
      <c r="G509" s="1" t="s">
        <v>1190</v>
      </c>
      <c r="H509" s="1" t="s">
        <v>1169</v>
      </c>
      <c r="I509" s="1">
        <v>20</v>
      </c>
      <c r="J509" s="2">
        <v>853.66</v>
      </c>
      <c r="K509" s="2">
        <v>853.66</v>
      </c>
      <c r="L509" s="2">
        <v>853.66</v>
      </c>
      <c r="M509" s="2">
        <v>853.66</v>
      </c>
      <c r="N509" s="1" t="s">
        <v>36</v>
      </c>
      <c r="O509" s="2">
        <v>1</v>
      </c>
      <c r="P509" s="3">
        <f t="shared" si="14"/>
        <v>640.245</v>
      </c>
      <c r="Q509" s="3" t="str">
        <f t="shared" si="15"/>
        <v>17196980853.66</v>
      </c>
      <c r="R509" t="s">
        <v>1191</v>
      </c>
    </row>
    <row r="510" spans="1:20" hidden="1">
      <c r="A510" t="s">
        <v>29</v>
      </c>
      <c r="B510" s="1" t="s">
        <v>555</v>
      </c>
      <c r="C510" s="1" t="s">
        <v>69</v>
      </c>
      <c r="D510" s="1" t="s">
        <v>1192</v>
      </c>
      <c r="E510" s="1" t="s">
        <v>584</v>
      </c>
      <c r="F510" s="1" t="s">
        <v>585</v>
      </c>
      <c r="G510" s="1" t="s">
        <v>752</v>
      </c>
      <c r="H510" s="1" t="s">
        <v>1169</v>
      </c>
      <c r="I510" s="1">
        <v>20</v>
      </c>
      <c r="J510" s="2">
        <v>97.41</v>
      </c>
      <c r="K510" s="2">
        <v>97.41</v>
      </c>
      <c r="L510" s="2">
        <v>97.41</v>
      </c>
      <c r="M510" s="2">
        <v>97.41</v>
      </c>
      <c r="N510" s="1" t="s">
        <v>36</v>
      </c>
      <c r="O510" s="2">
        <v>1</v>
      </c>
      <c r="P510" s="3">
        <f t="shared" si="14"/>
        <v>73.057500000000005</v>
      </c>
      <c r="Q510" s="3" t="str">
        <f t="shared" si="15"/>
        <v>775288397.41</v>
      </c>
      <c r="R510" t="s">
        <v>758</v>
      </c>
      <c r="S510" t="s">
        <v>60</v>
      </c>
    </row>
    <row r="511" spans="1:20" hidden="1">
      <c r="A511" t="s">
        <v>29</v>
      </c>
      <c r="B511" s="1" t="s">
        <v>555</v>
      </c>
      <c r="C511" s="1" t="s">
        <v>69</v>
      </c>
      <c r="D511" s="1" t="s">
        <v>1193</v>
      </c>
      <c r="E511" s="1" t="s">
        <v>584</v>
      </c>
      <c r="F511" s="1" t="s">
        <v>585</v>
      </c>
      <c r="G511" s="1" t="s">
        <v>752</v>
      </c>
      <c r="H511" s="1" t="s">
        <v>1169</v>
      </c>
      <c r="I511" s="1">
        <v>20</v>
      </c>
      <c r="J511" s="2">
        <v>201.25</v>
      </c>
      <c r="K511" s="2">
        <v>201.25</v>
      </c>
      <c r="L511" s="2">
        <v>201.25</v>
      </c>
      <c r="M511" s="2">
        <v>201.25</v>
      </c>
      <c r="N511" s="1" t="s">
        <v>36</v>
      </c>
      <c r="O511" s="2">
        <v>1</v>
      </c>
      <c r="P511" s="3">
        <f t="shared" si="14"/>
        <v>150.9375</v>
      </c>
      <c r="Q511" s="3" t="str">
        <f t="shared" si="15"/>
        <v>7753980201.25</v>
      </c>
      <c r="R511" t="s">
        <v>758</v>
      </c>
      <c r="S511" t="s">
        <v>60</v>
      </c>
    </row>
    <row r="512" spans="1:20" hidden="1">
      <c r="A512" t="s">
        <v>29</v>
      </c>
      <c r="B512" s="1" t="s">
        <v>555</v>
      </c>
      <c r="C512" s="1" t="s">
        <v>69</v>
      </c>
      <c r="D512" s="1" t="s">
        <v>1194</v>
      </c>
      <c r="E512" s="1" t="s">
        <v>584</v>
      </c>
      <c r="F512" s="1" t="s">
        <v>585</v>
      </c>
      <c r="G512" s="1" t="s">
        <v>752</v>
      </c>
      <c r="H512" s="1" t="s">
        <v>1169</v>
      </c>
      <c r="I512" s="1">
        <v>20</v>
      </c>
      <c r="J512" s="2">
        <v>97.41</v>
      </c>
      <c r="K512" s="2">
        <v>97.41</v>
      </c>
      <c r="L512" s="2">
        <v>97.41</v>
      </c>
      <c r="M512" s="2">
        <v>97.41</v>
      </c>
      <c r="N512" s="1" t="s">
        <v>36</v>
      </c>
      <c r="O512" s="2">
        <v>1</v>
      </c>
      <c r="P512" s="3">
        <f t="shared" si="14"/>
        <v>73.057500000000005</v>
      </c>
      <c r="Q512" s="3" t="str">
        <f t="shared" si="15"/>
        <v>775291897.41</v>
      </c>
      <c r="R512" t="s">
        <v>758</v>
      </c>
      <c r="S512" t="s">
        <v>60</v>
      </c>
    </row>
    <row r="513" spans="1:20" hidden="1">
      <c r="A513" t="s">
        <v>29</v>
      </c>
      <c r="B513" s="1" t="s">
        <v>555</v>
      </c>
      <c r="C513" s="1" t="s">
        <v>69</v>
      </c>
      <c r="D513" s="1" t="s">
        <v>1195</v>
      </c>
      <c r="E513" s="1" t="s">
        <v>334</v>
      </c>
      <c r="F513" s="1" t="s">
        <v>335</v>
      </c>
      <c r="G513" s="1" t="s">
        <v>1196</v>
      </c>
      <c r="H513" s="1" t="s">
        <v>1169</v>
      </c>
      <c r="I513" s="1">
        <v>20</v>
      </c>
      <c r="J513" s="2">
        <v>1482.27</v>
      </c>
      <c r="K513" s="2">
        <v>1482.2661000000001</v>
      </c>
      <c r="L513" s="2">
        <v>1050</v>
      </c>
      <c r="M513" s="2">
        <v>1050</v>
      </c>
      <c r="N513" s="1" t="s">
        <v>45</v>
      </c>
      <c r="O513" s="2">
        <v>1.4116820000000001</v>
      </c>
      <c r="P513" s="3">
        <f t="shared" ref="P513:P576" si="16">IF(N513="CAD",$P$1,1)*M513</f>
        <v>1050</v>
      </c>
      <c r="Q513" s="3" t="str">
        <f t="shared" ref="Q513:Q576" si="17">D513&amp;M513</f>
        <v>86000058621050</v>
      </c>
      <c r="R513" t="s">
        <v>91</v>
      </c>
      <c r="S513" t="s">
        <v>60</v>
      </c>
      <c r="T513" t="s">
        <v>102</v>
      </c>
    </row>
    <row r="514" spans="1:20" hidden="1">
      <c r="A514" t="s">
        <v>29</v>
      </c>
      <c r="B514" s="1" t="s">
        <v>1169</v>
      </c>
      <c r="C514" s="1" t="s">
        <v>69</v>
      </c>
      <c r="D514" s="1" t="s">
        <v>1197</v>
      </c>
      <c r="E514" s="1" t="s">
        <v>1198</v>
      </c>
      <c r="F514" s="1" t="s">
        <v>1199</v>
      </c>
      <c r="G514" s="1" t="s">
        <v>1200</v>
      </c>
      <c r="H514" s="1" t="s">
        <v>1169</v>
      </c>
      <c r="I514" s="1">
        <v>20</v>
      </c>
      <c r="J514" s="2">
        <v>9967.8700000000008</v>
      </c>
      <c r="K514" s="2">
        <v>9967.8700000000008</v>
      </c>
      <c r="L514" s="2">
        <v>9967.8700000000008</v>
      </c>
      <c r="M514" s="2">
        <v>9967.8700000000008</v>
      </c>
      <c r="N514" s="1" t="s">
        <v>36</v>
      </c>
      <c r="O514" s="2">
        <v>1</v>
      </c>
      <c r="P514" s="3">
        <f t="shared" si="16"/>
        <v>7475.9025000000001</v>
      </c>
      <c r="Q514" s="3" t="str">
        <f t="shared" si="17"/>
        <v>YHMIR027757169967.87</v>
      </c>
    </row>
    <row r="515" spans="1:20" hidden="1">
      <c r="A515" t="s">
        <v>29</v>
      </c>
      <c r="B515" s="1" t="s">
        <v>560</v>
      </c>
      <c r="C515" s="1" t="s">
        <v>69</v>
      </c>
      <c r="D515" s="1" t="s">
        <v>1201</v>
      </c>
      <c r="E515" s="1" t="s">
        <v>1202</v>
      </c>
      <c r="F515" s="1" t="s">
        <v>1203</v>
      </c>
      <c r="G515" s="1" t="s">
        <v>1204</v>
      </c>
      <c r="H515" s="1" t="s">
        <v>1205</v>
      </c>
      <c r="I515" s="1">
        <v>19</v>
      </c>
      <c r="J515" s="2">
        <v>81808.570000000007</v>
      </c>
      <c r="K515" s="2">
        <v>81808.573229300004</v>
      </c>
      <c r="L515" s="2">
        <v>58130.3</v>
      </c>
      <c r="M515" s="2">
        <v>58130.3</v>
      </c>
      <c r="N515" s="1" t="s">
        <v>45</v>
      </c>
      <c r="O515" s="2">
        <v>1.4073310000000001</v>
      </c>
      <c r="P515" s="3">
        <f t="shared" si="16"/>
        <v>58130.3</v>
      </c>
      <c r="Q515" s="3" t="str">
        <f t="shared" si="17"/>
        <v>INV0049845958130.3</v>
      </c>
      <c r="R515" t="s">
        <v>37</v>
      </c>
      <c r="S515" t="s">
        <v>60</v>
      </c>
      <c r="T515" t="s">
        <v>102</v>
      </c>
    </row>
    <row r="516" spans="1:20" hidden="1">
      <c r="A516" t="s">
        <v>29</v>
      </c>
      <c r="B516" s="1" t="s">
        <v>560</v>
      </c>
      <c r="C516" s="1" t="s">
        <v>69</v>
      </c>
      <c r="D516" s="1" t="s">
        <v>1206</v>
      </c>
      <c r="E516" s="1" t="s">
        <v>485</v>
      </c>
      <c r="F516" s="1" t="s">
        <v>486</v>
      </c>
      <c r="G516" s="1" t="s">
        <v>1207</v>
      </c>
      <c r="H516" s="1" t="s">
        <v>1205</v>
      </c>
      <c r="I516" s="1">
        <v>19</v>
      </c>
      <c r="J516" s="2">
        <v>3377.59</v>
      </c>
      <c r="K516" s="2">
        <v>3377.5944</v>
      </c>
      <c r="L516" s="2">
        <v>2400</v>
      </c>
      <c r="M516" s="2">
        <v>2400</v>
      </c>
      <c r="N516" s="1" t="s">
        <v>45</v>
      </c>
      <c r="O516" s="2">
        <v>1.4073310000000001</v>
      </c>
      <c r="P516" s="3">
        <f t="shared" si="16"/>
        <v>2400</v>
      </c>
      <c r="Q516" s="3" t="str">
        <f t="shared" si="17"/>
        <v>CCI2025092203PM12400</v>
      </c>
      <c r="R516" t="s">
        <v>74</v>
      </c>
      <c r="S516" t="s">
        <v>60</v>
      </c>
      <c r="T516" t="s">
        <v>102</v>
      </c>
    </row>
    <row r="517" spans="1:20" hidden="1">
      <c r="A517" t="s">
        <v>29</v>
      </c>
      <c r="B517" s="1" t="s">
        <v>560</v>
      </c>
      <c r="C517" s="1" t="s">
        <v>69</v>
      </c>
      <c r="D517" s="1" t="s">
        <v>1208</v>
      </c>
      <c r="E517" s="1" t="s">
        <v>584</v>
      </c>
      <c r="F517" s="1" t="s">
        <v>585</v>
      </c>
      <c r="G517" s="1" t="s">
        <v>752</v>
      </c>
      <c r="H517" s="1" t="s">
        <v>1205</v>
      </c>
      <c r="I517" s="1">
        <v>19</v>
      </c>
      <c r="J517" s="2">
        <v>97.41</v>
      </c>
      <c r="K517" s="2">
        <v>97.41</v>
      </c>
      <c r="L517" s="2">
        <v>97.41</v>
      </c>
      <c r="M517" s="2">
        <v>97.41</v>
      </c>
      <c r="N517" s="1" t="s">
        <v>36</v>
      </c>
      <c r="O517" s="2">
        <v>1</v>
      </c>
      <c r="P517" s="3">
        <f t="shared" si="16"/>
        <v>73.057500000000005</v>
      </c>
      <c r="Q517" s="3" t="str">
        <f t="shared" si="17"/>
        <v>775925897.41</v>
      </c>
      <c r="R517" t="s">
        <v>758</v>
      </c>
      <c r="S517" t="s">
        <v>60</v>
      </c>
    </row>
    <row r="518" spans="1:20" hidden="1">
      <c r="A518" t="s">
        <v>29</v>
      </c>
      <c r="B518" s="1" t="s">
        <v>560</v>
      </c>
      <c r="C518" s="1" t="s">
        <v>69</v>
      </c>
      <c r="D518" s="1" t="s">
        <v>1209</v>
      </c>
      <c r="E518" s="1" t="s">
        <v>584</v>
      </c>
      <c r="F518" s="1" t="s">
        <v>585</v>
      </c>
      <c r="G518" s="1" t="s">
        <v>752</v>
      </c>
      <c r="H518" s="1" t="s">
        <v>1205</v>
      </c>
      <c r="I518" s="1">
        <v>19</v>
      </c>
      <c r="J518" s="2">
        <v>97.41</v>
      </c>
      <c r="K518" s="2">
        <v>97.41</v>
      </c>
      <c r="L518" s="2">
        <v>97.41</v>
      </c>
      <c r="M518" s="2">
        <v>97.41</v>
      </c>
      <c r="N518" s="1" t="s">
        <v>36</v>
      </c>
      <c r="O518" s="2">
        <v>1</v>
      </c>
      <c r="P518" s="3">
        <f t="shared" si="16"/>
        <v>73.057500000000005</v>
      </c>
      <c r="Q518" s="3" t="str">
        <f t="shared" si="17"/>
        <v>775850797.41</v>
      </c>
      <c r="R518" t="s">
        <v>758</v>
      </c>
      <c r="S518" t="s">
        <v>60</v>
      </c>
    </row>
    <row r="519" spans="1:20" hidden="1">
      <c r="A519" t="s">
        <v>29</v>
      </c>
      <c r="B519" s="1" t="s">
        <v>560</v>
      </c>
      <c r="C519" s="1" t="s">
        <v>69</v>
      </c>
      <c r="D519" s="1" t="s">
        <v>1210</v>
      </c>
      <c r="E519" s="1" t="s">
        <v>584</v>
      </c>
      <c r="F519" s="1" t="s">
        <v>585</v>
      </c>
      <c r="G519" s="1" t="s">
        <v>752</v>
      </c>
      <c r="H519" s="1" t="s">
        <v>1205</v>
      </c>
      <c r="I519" s="1">
        <v>19</v>
      </c>
      <c r="J519" s="2">
        <v>97.41</v>
      </c>
      <c r="K519" s="2">
        <v>97.41</v>
      </c>
      <c r="L519" s="2">
        <v>97.41</v>
      </c>
      <c r="M519" s="2">
        <v>97.41</v>
      </c>
      <c r="N519" s="1" t="s">
        <v>36</v>
      </c>
      <c r="O519" s="2">
        <v>1</v>
      </c>
      <c r="P519" s="3">
        <f t="shared" si="16"/>
        <v>73.057500000000005</v>
      </c>
      <c r="Q519" s="3" t="str">
        <f t="shared" si="17"/>
        <v>775851497.41</v>
      </c>
      <c r="R519" t="s">
        <v>758</v>
      </c>
      <c r="S519" t="s">
        <v>60</v>
      </c>
    </row>
    <row r="520" spans="1:20" hidden="1">
      <c r="A520" t="s">
        <v>29</v>
      </c>
      <c r="B520" s="1" t="s">
        <v>560</v>
      </c>
      <c r="C520" s="1" t="s">
        <v>69</v>
      </c>
      <c r="D520" s="1" t="s">
        <v>1211</v>
      </c>
      <c r="E520" s="1" t="s">
        <v>584</v>
      </c>
      <c r="F520" s="1" t="s">
        <v>585</v>
      </c>
      <c r="G520" s="1" t="s">
        <v>752</v>
      </c>
      <c r="H520" s="1" t="s">
        <v>1205</v>
      </c>
      <c r="I520" s="1">
        <v>19</v>
      </c>
      <c r="J520" s="2">
        <v>179</v>
      </c>
      <c r="K520" s="2">
        <v>179</v>
      </c>
      <c r="L520" s="2">
        <v>179</v>
      </c>
      <c r="M520" s="2">
        <v>179</v>
      </c>
      <c r="N520" s="1" t="s">
        <v>36</v>
      </c>
      <c r="O520" s="2">
        <v>1</v>
      </c>
      <c r="P520" s="3">
        <f t="shared" si="16"/>
        <v>134.25</v>
      </c>
      <c r="Q520" s="3" t="str">
        <f t="shared" si="17"/>
        <v>7758956179</v>
      </c>
      <c r="R520" t="s">
        <v>758</v>
      </c>
      <c r="S520" t="s">
        <v>60</v>
      </c>
    </row>
    <row r="521" spans="1:20" hidden="1">
      <c r="A521" t="s">
        <v>29</v>
      </c>
      <c r="B521" s="1" t="s">
        <v>560</v>
      </c>
      <c r="C521" s="1" t="s">
        <v>69</v>
      </c>
      <c r="D521" s="1" t="s">
        <v>1212</v>
      </c>
      <c r="E521" s="1" t="s">
        <v>485</v>
      </c>
      <c r="F521" s="1" t="s">
        <v>486</v>
      </c>
      <c r="G521" s="1" t="s">
        <v>1213</v>
      </c>
      <c r="H521" s="1" t="s">
        <v>1205</v>
      </c>
      <c r="I521" s="1">
        <v>19</v>
      </c>
      <c r="J521" s="2">
        <v>633.29999999999995</v>
      </c>
      <c r="K521" s="2">
        <v>633.29894999999999</v>
      </c>
      <c r="L521" s="2">
        <v>450</v>
      </c>
      <c r="M521" s="2">
        <v>450</v>
      </c>
      <c r="N521" s="1" t="s">
        <v>45</v>
      </c>
      <c r="O521" s="2">
        <v>1.4073310000000001</v>
      </c>
      <c r="P521" s="3">
        <f t="shared" si="16"/>
        <v>450</v>
      </c>
      <c r="Q521" s="3" t="str">
        <f t="shared" si="17"/>
        <v>CCI2025092202PM1450</v>
      </c>
      <c r="R521" t="s">
        <v>74</v>
      </c>
      <c r="S521" t="s">
        <v>60</v>
      </c>
      <c r="T521" t="s">
        <v>102</v>
      </c>
    </row>
    <row r="522" spans="1:20" hidden="1">
      <c r="A522" t="s">
        <v>29</v>
      </c>
      <c r="B522" s="1" t="s">
        <v>560</v>
      </c>
      <c r="C522" s="1" t="s">
        <v>69</v>
      </c>
      <c r="D522" s="1" t="s">
        <v>1214</v>
      </c>
      <c r="E522" s="1" t="s">
        <v>334</v>
      </c>
      <c r="F522" s="1" t="s">
        <v>335</v>
      </c>
      <c r="G522" s="1" t="s">
        <v>1215</v>
      </c>
      <c r="H522" s="1" t="s">
        <v>1205</v>
      </c>
      <c r="I522" s="1">
        <v>19</v>
      </c>
      <c r="J522" s="2">
        <v>56293.24</v>
      </c>
      <c r="K522" s="2">
        <v>56293.24</v>
      </c>
      <c r="L522" s="2">
        <v>40000</v>
      </c>
      <c r="M522" s="2">
        <v>40000</v>
      </c>
      <c r="N522" s="1" t="s">
        <v>45</v>
      </c>
      <c r="O522" s="2">
        <v>1.4073310000000001</v>
      </c>
      <c r="P522" s="3">
        <f t="shared" si="16"/>
        <v>40000</v>
      </c>
      <c r="Q522" s="3" t="str">
        <f t="shared" si="17"/>
        <v>190974713140000</v>
      </c>
      <c r="R522" t="s">
        <v>91</v>
      </c>
      <c r="S522" t="s">
        <v>60</v>
      </c>
      <c r="T522" t="s">
        <v>102</v>
      </c>
    </row>
    <row r="523" spans="1:20" hidden="1">
      <c r="A523" t="s">
        <v>29</v>
      </c>
      <c r="B523" s="1" t="s">
        <v>560</v>
      </c>
      <c r="C523" s="1" t="s">
        <v>69</v>
      </c>
      <c r="D523" s="1" t="s">
        <v>1216</v>
      </c>
      <c r="E523" s="1" t="s">
        <v>71</v>
      </c>
      <c r="F523" s="1" t="s">
        <v>72</v>
      </c>
      <c r="G523" s="1" t="s">
        <v>943</v>
      </c>
      <c r="H523" s="1" t="s">
        <v>1205</v>
      </c>
      <c r="I523" s="1">
        <v>19</v>
      </c>
      <c r="J523" s="2">
        <v>857190.13</v>
      </c>
      <c r="K523" s="2">
        <v>857190.12699850998</v>
      </c>
      <c r="L523" s="2">
        <v>609089.21</v>
      </c>
      <c r="M523" s="2">
        <v>609089.21</v>
      </c>
      <c r="N523" s="1" t="s">
        <v>45</v>
      </c>
      <c r="O523" s="2">
        <v>1.4073310000000001</v>
      </c>
      <c r="P523" s="3">
        <f t="shared" si="16"/>
        <v>609089.21</v>
      </c>
      <c r="Q523" s="3" t="str">
        <f t="shared" si="17"/>
        <v>91909198609089.21</v>
      </c>
      <c r="R523" t="s">
        <v>74</v>
      </c>
      <c r="S523" t="s">
        <v>60</v>
      </c>
      <c r="T523" t="s">
        <v>102</v>
      </c>
    </row>
    <row r="524" spans="1:20" hidden="1">
      <c r="A524" t="s">
        <v>29</v>
      </c>
      <c r="B524" s="1" t="s">
        <v>560</v>
      </c>
      <c r="C524" s="1" t="s">
        <v>69</v>
      </c>
      <c r="D524" s="1" t="s">
        <v>1217</v>
      </c>
      <c r="E524" s="1" t="s">
        <v>580</v>
      </c>
      <c r="F524" s="1" t="s">
        <v>581</v>
      </c>
      <c r="G524" s="1" t="s">
        <v>1218</v>
      </c>
      <c r="H524" s="1" t="s">
        <v>1205</v>
      </c>
      <c r="I524" s="1">
        <v>19</v>
      </c>
      <c r="J524" s="2">
        <v>3816.68</v>
      </c>
      <c r="K524" s="2">
        <v>3816.6816720000002</v>
      </c>
      <c r="L524" s="2">
        <v>2712</v>
      </c>
      <c r="M524" s="2">
        <v>2712</v>
      </c>
      <c r="N524" s="1" t="s">
        <v>45</v>
      </c>
      <c r="O524" s="2">
        <v>1.4073310000000001</v>
      </c>
      <c r="P524" s="3">
        <f t="shared" si="16"/>
        <v>2712</v>
      </c>
      <c r="Q524" s="3" t="str">
        <f t="shared" si="17"/>
        <v>1312782712</v>
      </c>
      <c r="R524" t="s">
        <v>91</v>
      </c>
    </row>
    <row r="525" spans="1:20" hidden="1">
      <c r="A525" t="s">
        <v>29</v>
      </c>
      <c r="B525" s="1" t="s">
        <v>560</v>
      </c>
      <c r="C525" s="1" t="s">
        <v>69</v>
      </c>
      <c r="D525" s="1" t="s">
        <v>1219</v>
      </c>
      <c r="E525" s="1" t="s">
        <v>334</v>
      </c>
      <c r="F525" s="1" t="s">
        <v>335</v>
      </c>
      <c r="G525" s="1" t="s">
        <v>1220</v>
      </c>
      <c r="H525" s="1" t="s">
        <v>1205</v>
      </c>
      <c r="I525" s="1">
        <v>19</v>
      </c>
      <c r="J525" s="2">
        <v>8323.74</v>
      </c>
      <c r="K525" s="2">
        <v>8323.7436393600001</v>
      </c>
      <c r="L525" s="2">
        <v>5914.56</v>
      </c>
      <c r="M525" s="2">
        <v>5914.56</v>
      </c>
      <c r="N525" s="1" t="s">
        <v>45</v>
      </c>
      <c r="O525" s="2">
        <v>1.4073310000000001</v>
      </c>
      <c r="P525" s="3">
        <f t="shared" si="16"/>
        <v>5914.56</v>
      </c>
      <c r="Q525" s="3" t="str">
        <f t="shared" si="17"/>
        <v>29084537305914.56</v>
      </c>
      <c r="R525" t="s">
        <v>91</v>
      </c>
    </row>
    <row r="526" spans="1:20" hidden="1">
      <c r="A526" t="s">
        <v>29</v>
      </c>
      <c r="B526" s="1" t="s">
        <v>560</v>
      </c>
      <c r="C526" s="1" t="s">
        <v>69</v>
      </c>
      <c r="D526" s="1" t="s">
        <v>1221</v>
      </c>
      <c r="E526" s="1" t="s">
        <v>334</v>
      </c>
      <c r="F526" s="1" t="s">
        <v>335</v>
      </c>
      <c r="G526" s="1" t="s">
        <v>1222</v>
      </c>
      <c r="H526" s="1" t="s">
        <v>1205</v>
      </c>
      <c r="I526" s="1">
        <v>19</v>
      </c>
      <c r="J526" s="2">
        <v>175.45</v>
      </c>
      <c r="K526" s="2">
        <v>175.45195577000001</v>
      </c>
      <c r="L526" s="2">
        <v>124.67</v>
      </c>
      <c r="M526" s="2">
        <v>124.67</v>
      </c>
      <c r="N526" s="1" t="s">
        <v>45</v>
      </c>
      <c r="O526" s="2">
        <v>1.4073310000000001</v>
      </c>
      <c r="P526" s="3">
        <f t="shared" si="16"/>
        <v>124.67</v>
      </c>
      <c r="Q526" s="3" t="str">
        <f t="shared" si="17"/>
        <v>2908453734124.67</v>
      </c>
      <c r="R526" t="s">
        <v>91</v>
      </c>
    </row>
    <row r="527" spans="1:20" hidden="1">
      <c r="A527" t="s">
        <v>29</v>
      </c>
      <c r="B527" s="1" t="s">
        <v>560</v>
      </c>
      <c r="C527" s="1" t="s">
        <v>69</v>
      </c>
      <c r="D527" s="1" t="s">
        <v>1223</v>
      </c>
      <c r="E527" s="1" t="s">
        <v>334</v>
      </c>
      <c r="F527" s="1" t="s">
        <v>335</v>
      </c>
      <c r="G527" s="1" t="s">
        <v>1224</v>
      </c>
      <c r="H527" s="1" t="s">
        <v>1205</v>
      </c>
      <c r="I527" s="1">
        <v>19</v>
      </c>
      <c r="J527" s="2">
        <v>450.89</v>
      </c>
      <c r="K527" s="2">
        <v>450.89477908999999</v>
      </c>
      <c r="L527" s="2">
        <v>320.39</v>
      </c>
      <c r="M527" s="2">
        <v>320.39</v>
      </c>
      <c r="N527" s="1" t="s">
        <v>45</v>
      </c>
      <c r="O527" s="2">
        <v>1.4073310000000001</v>
      </c>
      <c r="P527" s="3">
        <f t="shared" si="16"/>
        <v>320.39</v>
      </c>
      <c r="Q527" s="3" t="str">
        <f t="shared" si="17"/>
        <v>2908454324320.39</v>
      </c>
      <c r="R527" t="s">
        <v>91</v>
      </c>
    </row>
    <row r="528" spans="1:20" hidden="1">
      <c r="A528" t="s">
        <v>29</v>
      </c>
      <c r="B528" s="1" t="s">
        <v>560</v>
      </c>
      <c r="C528" s="1" t="s">
        <v>69</v>
      </c>
      <c r="D528" s="1" t="s">
        <v>1225</v>
      </c>
      <c r="E528" s="1" t="s">
        <v>334</v>
      </c>
      <c r="F528" s="1" t="s">
        <v>335</v>
      </c>
      <c r="G528" s="1" t="s">
        <v>772</v>
      </c>
      <c r="H528" s="1" t="s">
        <v>1205</v>
      </c>
      <c r="I528" s="1">
        <v>19</v>
      </c>
      <c r="J528" s="2">
        <v>12625</v>
      </c>
      <c r="K528" s="2">
        <v>12624.99752128</v>
      </c>
      <c r="L528" s="2">
        <v>8970.8799999999992</v>
      </c>
      <c r="M528" s="2">
        <v>8970.8799999999992</v>
      </c>
      <c r="N528" s="1" t="s">
        <v>45</v>
      </c>
      <c r="O528" s="2">
        <v>1.4073310000000001</v>
      </c>
      <c r="P528" s="3">
        <f t="shared" si="16"/>
        <v>8970.8799999999992</v>
      </c>
      <c r="Q528" s="3" t="str">
        <f t="shared" si="17"/>
        <v>29084554118970.88</v>
      </c>
      <c r="R528" t="s">
        <v>91</v>
      </c>
    </row>
    <row r="529" spans="1:20" hidden="1">
      <c r="A529" t="s">
        <v>29</v>
      </c>
      <c r="B529" s="1" t="s">
        <v>560</v>
      </c>
      <c r="C529" s="1" t="s">
        <v>69</v>
      </c>
      <c r="D529" s="1" t="s">
        <v>1226</v>
      </c>
      <c r="E529" s="1" t="s">
        <v>334</v>
      </c>
      <c r="F529" s="1" t="s">
        <v>335</v>
      </c>
      <c r="G529" s="1" t="s">
        <v>989</v>
      </c>
      <c r="H529" s="1" t="s">
        <v>1205</v>
      </c>
      <c r="I529" s="1">
        <v>19</v>
      </c>
      <c r="J529" s="2">
        <v>233.04</v>
      </c>
      <c r="K529" s="2">
        <v>233.03994029</v>
      </c>
      <c r="L529" s="2">
        <v>165.59</v>
      </c>
      <c r="M529" s="2">
        <v>165.59</v>
      </c>
      <c r="N529" s="1" t="s">
        <v>45</v>
      </c>
      <c r="O529" s="2">
        <v>1.4073310000000001</v>
      </c>
      <c r="P529" s="3">
        <f t="shared" si="16"/>
        <v>165.59</v>
      </c>
      <c r="Q529" s="3" t="str">
        <f t="shared" si="17"/>
        <v>2908455412165.59</v>
      </c>
      <c r="R529" t="s">
        <v>91</v>
      </c>
    </row>
    <row r="530" spans="1:20" hidden="1">
      <c r="A530" t="s">
        <v>29</v>
      </c>
      <c r="B530" s="1" t="s">
        <v>560</v>
      </c>
      <c r="C530" s="1" t="s">
        <v>69</v>
      </c>
      <c r="D530" s="1" t="s">
        <v>1227</v>
      </c>
      <c r="E530" s="1" t="s">
        <v>334</v>
      </c>
      <c r="F530" s="1" t="s">
        <v>335</v>
      </c>
      <c r="G530" s="1" t="s">
        <v>1228</v>
      </c>
      <c r="H530" s="1" t="s">
        <v>1205</v>
      </c>
      <c r="I530" s="1">
        <v>19</v>
      </c>
      <c r="J530" s="2">
        <v>1311.44</v>
      </c>
      <c r="K530" s="2">
        <v>1311.4354656600001</v>
      </c>
      <c r="L530" s="2">
        <v>931.86</v>
      </c>
      <c r="M530" s="2">
        <v>931.86</v>
      </c>
      <c r="N530" s="1" t="s">
        <v>45</v>
      </c>
      <c r="O530" s="2">
        <v>1.4073310000000001</v>
      </c>
      <c r="P530" s="3">
        <f t="shared" si="16"/>
        <v>931.86</v>
      </c>
      <c r="Q530" s="3" t="str">
        <f t="shared" si="17"/>
        <v>2908455619931.86</v>
      </c>
      <c r="R530" t="s">
        <v>91</v>
      </c>
    </row>
    <row r="531" spans="1:20" hidden="1">
      <c r="A531" t="s">
        <v>29</v>
      </c>
      <c r="B531" s="1" t="s">
        <v>560</v>
      </c>
      <c r="C531" s="1" t="s">
        <v>69</v>
      </c>
      <c r="D531" s="1" t="s">
        <v>1229</v>
      </c>
      <c r="E531" s="1" t="s">
        <v>334</v>
      </c>
      <c r="F531" s="1" t="s">
        <v>335</v>
      </c>
      <c r="G531" s="1" t="s">
        <v>1230</v>
      </c>
      <c r="H531" s="1" t="s">
        <v>1205</v>
      </c>
      <c r="I531" s="1">
        <v>19</v>
      </c>
      <c r="J531" s="2">
        <v>4021.05</v>
      </c>
      <c r="K531" s="2">
        <v>4021.0542798199999</v>
      </c>
      <c r="L531" s="2">
        <v>2857.22</v>
      </c>
      <c r="M531" s="2">
        <v>2857.22</v>
      </c>
      <c r="N531" s="1" t="s">
        <v>45</v>
      </c>
      <c r="O531" s="2">
        <v>1.4073310000000001</v>
      </c>
      <c r="P531" s="3">
        <f t="shared" si="16"/>
        <v>2857.22</v>
      </c>
      <c r="Q531" s="3" t="str">
        <f t="shared" si="17"/>
        <v>29084556212857.22</v>
      </c>
      <c r="R531" t="s">
        <v>91</v>
      </c>
    </row>
    <row r="532" spans="1:20" hidden="1">
      <c r="A532" t="s">
        <v>29</v>
      </c>
      <c r="B532" s="1" t="s">
        <v>872</v>
      </c>
      <c r="C532" s="1" t="s">
        <v>69</v>
      </c>
      <c r="D532" s="1" t="s">
        <v>1231</v>
      </c>
      <c r="E532" s="1" t="s">
        <v>156</v>
      </c>
      <c r="F532" s="1" t="s">
        <v>156</v>
      </c>
      <c r="G532" s="1" t="s">
        <v>1232</v>
      </c>
      <c r="H532" s="1" t="s">
        <v>1205</v>
      </c>
      <c r="I532" s="1">
        <v>19</v>
      </c>
      <c r="J532" s="2">
        <v>1.41</v>
      </c>
      <c r="K532" s="2">
        <v>1.41</v>
      </c>
      <c r="L532" s="2">
        <v>1.41</v>
      </c>
      <c r="M532" s="2">
        <v>1.41</v>
      </c>
      <c r="N532" s="1" t="s">
        <v>36</v>
      </c>
      <c r="O532" s="2">
        <v>1</v>
      </c>
      <c r="P532" s="3">
        <f t="shared" si="16"/>
        <v>1.0574999999999999</v>
      </c>
      <c r="Q532" s="3" t="str">
        <f t="shared" si="17"/>
        <v>A2-702-810471.41</v>
      </c>
    </row>
    <row r="533" spans="1:20" hidden="1">
      <c r="A533" t="s">
        <v>29</v>
      </c>
      <c r="B533" s="1" t="s">
        <v>1205</v>
      </c>
      <c r="C533" s="1" t="s">
        <v>69</v>
      </c>
      <c r="D533" s="1" t="s">
        <v>1233</v>
      </c>
      <c r="E533" s="1" t="s">
        <v>316</v>
      </c>
      <c r="F533" s="1" t="s">
        <v>316</v>
      </c>
      <c r="G533" s="1" t="s">
        <v>1234</v>
      </c>
      <c r="H533" s="1" t="s">
        <v>1205</v>
      </c>
      <c r="I533" s="1">
        <v>19</v>
      </c>
      <c r="J533" s="2">
        <v>93739.03</v>
      </c>
      <c r="K533" s="2">
        <v>93739.03</v>
      </c>
      <c r="L533" s="2">
        <v>93739.03</v>
      </c>
      <c r="M533" s="2">
        <v>93739.03</v>
      </c>
      <c r="N533" s="1" t="s">
        <v>36</v>
      </c>
      <c r="O533" s="2">
        <v>1</v>
      </c>
      <c r="P533" s="3">
        <f t="shared" si="16"/>
        <v>70304.272499999992</v>
      </c>
      <c r="Q533" s="3" t="str">
        <f t="shared" si="17"/>
        <v>183119 - Jan2693739.03</v>
      </c>
      <c r="R533" t="s">
        <v>318</v>
      </c>
    </row>
    <row r="534" spans="1:20" hidden="1">
      <c r="A534" t="s">
        <v>29</v>
      </c>
      <c r="B534" s="1" t="s">
        <v>578</v>
      </c>
      <c r="C534" s="1" t="s">
        <v>69</v>
      </c>
      <c r="D534" s="1" t="s">
        <v>1235</v>
      </c>
      <c r="E534" s="1" t="s">
        <v>616</v>
      </c>
      <c r="F534" s="1" t="s">
        <v>222</v>
      </c>
      <c r="G534" s="1" t="s">
        <v>1064</v>
      </c>
      <c r="H534" s="1" t="s">
        <v>1236</v>
      </c>
      <c r="I534" s="1">
        <v>18</v>
      </c>
      <c r="J534" s="2">
        <v>1315</v>
      </c>
      <c r="K534" s="2">
        <v>1315</v>
      </c>
      <c r="L534" s="2">
        <v>1315</v>
      </c>
      <c r="M534" s="2">
        <v>1315</v>
      </c>
      <c r="N534" s="1" t="s">
        <v>36</v>
      </c>
      <c r="O534" s="2">
        <v>1</v>
      </c>
      <c r="P534" s="3">
        <f t="shared" si="16"/>
        <v>986.25</v>
      </c>
      <c r="Q534" s="3" t="str">
        <f t="shared" si="17"/>
        <v>FGL00049621315</v>
      </c>
      <c r="R534" t="s">
        <v>758</v>
      </c>
      <c r="S534" t="s">
        <v>60</v>
      </c>
    </row>
    <row r="535" spans="1:20" hidden="1">
      <c r="A535" t="s">
        <v>29</v>
      </c>
      <c r="B535" s="1" t="s">
        <v>578</v>
      </c>
      <c r="C535" s="1" t="s">
        <v>69</v>
      </c>
      <c r="D535" s="1" t="s">
        <v>1237</v>
      </c>
      <c r="E535" s="1" t="s">
        <v>616</v>
      </c>
      <c r="F535" s="1" t="s">
        <v>222</v>
      </c>
      <c r="G535" s="1" t="s">
        <v>1064</v>
      </c>
      <c r="H535" s="1" t="s">
        <v>1236</v>
      </c>
      <c r="I535" s="1">
        <v>18</v>
      </c>
      <c r="J535" s="2">
        <v>1335</v>
      </c>
      <c r="K535" s="2">
        <v>1335</v>
      </c>
      <c r="L535" s="2">
        <v>1335</v>
      </c>
      <c r="M535" s="2">
        <v>1335</v>
      </c>
      <c r="N535" s="1" t="s">
        <v>36</v>
      </c>
      <c r="O535" s="2">
        <v>1</v>
      </c>
      <c r="P535" s="3">
        <f t="shared" si="16"/>
        <v>1001.25</v>
      </c>
      <c r="Q535" s="3" t="str">
        <f t="shared" si="17"/>
        <v>FGL00049631335</v>
      </c>
      <c r="R535" t="s">
        <v>758</v>
      </c>
      <c r="S535" t="s">
        <v>60</v>
      </c>
    </row>
    <row r="536" spans="1:20" hidden="1">
      <c r="A536" t="s">
        <v>29</v>
      </c>
      <c r="B536" s="1" t="s">
        <v>578</v>
      </c>
      <c r="C536" s="1" t="s">
        <v>69</v>
      </c>
      <c r="D536" s="1" t="s">
        <v>1238</v>
      </c>
      <c r="E536" s="1" t="s">
        <v>71</v>
      </c>
      <c r="F536" s="1" t="s">
        <v>72</v>
      </c>
      <c r="G536" s="1" t="s">
        <v>1239</v>
      </c>
      <c r="H536" s="1" t="s">
        <v>1236</v>
      </c>
      <c r="I536" s="1">
        <v>18</v>
      </c>
      <c r="J536" s="2">
        <v>25970.32</v>
      </c>
      <c r="K536" s="2">
        <v>25970.317426019999</v>
      </c>
      <c r="L536" s="2">
        <v>18503.98</v>
      </c>
      <c r="M536" s="2">
        <v>18503.98</v>
      </c>
      <c r="N536" s="1" t="s">
        <v>45</v>
      </c>
      <c r="O536" s="2">
        <v>1.4034990000000001</v>
      </c>
      <c r="P536" s="3">
        <f t="shared" si="16"/>
        <v>18503.98</v>
      </c>
      <c r="Q536" s="3" t="str">
        <f t="shared" si="17"/>
        <v>9190920518503.98</v>
      </c>
      <c r="R536" t="s">
        <v>74</v>
      </c>
      <c r="S536" t="s">
        <v>60</v>
      </c>
      <c r="T536" t="s">
        <v>102</v>
      </c>
    </row>
    <row r="537" spans="1:20" hidden="1">
      <c r="A537" t="s">
        <v>29</v>
      </c>
      <c r="B537" s="1" t="s">
        <v>578</v>
      </c>
      <c r="C537" s="1" t="s">
        <v>69</v>
      </c>
      <c r="D537" s="1" t="s">
        <v>1240</v>
      </c>
      <c r="E537" s="1" t="s">
        <v>71</v>
      </c>
      <c r="F537" s="1" t="s">
        <v>72</v>
      </c>
      <c r="G537" s="1" t="s">
        <v>943</v>
      </c>
      <c r="H537" s="1" t="s">
        <v>1236</v>
      </c>
      <c r="I537" s="1">
        <v>18</v>
      </c>
      <c r="J537" s="2">
        <v>628156.92000000004</v>
      </c>
      <c r="K537" s="2">
        <v>628156.91765507997</v>
      </c>
      <c r="L537" s="2">
        <v>447564.92</v>
      </c>
      <c r="M537" s="2">
        <v>447564.92</v>
      </c>
      <c r="N537" s="1" t="s">
        <v>45</v>
      </c>
      <c r="O537" s="2">
        <v>1.4034990000000001</v>
      </c>
      <c r="P537" s="3">
        <f t="shared" si="16"/>
        <v>447564.92</v>
      </c>
      <c r="Q537" s="3" t="str">
        <f t="shared" si="17"/>
        <v>91909204447564.92</v>
      </c>
      <c r="R537" t="s">
        <v>74</v>
      </c>
      <c r="S537" t="s">
        <v>60</v>
      </c>
      <c r="T537" t="s">
        <v>102</v>
      </c>
    </row>
    <row r="538" spans="1:20" hidden="1">
      <c r="A538" t="s">
        <v>29</v>
      </c>
      <c r="B538" s="1" t="s">
        <v>578</v>
      </c>
      <c r="C538" s="1" t="s">
        <v>69</v>
      </c>
      <c r="D538" s="1" t="s">
        <v>1241</v>
      </c>
      <c r="E538" s="1" t="s">
        <v>584</v>
      </c>
      <c r="F538" s="1" t="s">
        <v>585</v>
      </c>
      <c r="G538" s="1" t="s">
        <v>752</v>
      </c>
      <c r="H538" s="1" t="s">
        <v>1236</v>
      </c>
      <c r="I538" s="1">
        <v>18</v>
      </c>
      <c r="J538" s="2">
        <v>97.41</v>
      </c>
      <c r="K538" s="2">
        <v>97.41</v>
      </c>
      <c r="L538" s="2">
        <v>97.41</v>
      </c>
      <c r="M538" s="2">
        <v>97.41</v>
      </c>
      <c r="N538" s="1" t="s">
        <v>36</v>
      </c>
      <c r="O538" s="2">
        <v>1</v>
      </c>
      <c r="P538" s="3">
        <f t="shared" si="16"/>
        <v>73.057500000000005</v>
      </c>
      <c r="Q538" s="3" t="str">
        <f t="shared" si="17"/>
        <v>776395897.41</v>
      </c>
      <c r="R538" t="s">
        <v>758</v>
      </c>
      <c r="S538" t="s">
        <v>60</v>
      </c>
    </row>
    <row r="539" spans="1:20" hidden="1">
      <c r="A539" t="s">
        <v>29</v>
      </c>
      <c r="B539" s="1" t="s">
        <v>578</v>
      </c>
      <c r="C539" s="1" t="s">
        <v>69</v>
      </c>
      <c r="D539" s="1" t="s">
        <v>1242</v>
      </c>
      <c r="E539" s="1" t="s">
        <v>239</v>
      </c>
      <c r="F539" s="1" t="s">
        <v>240</v>
      </c>
      <c r="G539" s="1" t="s">
        <v>1243</v>
      </c>
      <c r="H539" s="1" t="s">
        <v>1236</v>
      </c>
      <c r="I539" s="1">
        <v>18</v>
      </c>
      <c r="J539" s="2">
        <v>65354.96</v>
      </c>
      <c r="K539" s="2">
        <v>65354.955489270003</v>
      </c>
      <c r="L539" s="2">
        <v>46565.73</v>
      </c>
      <c r="M539" s="2">
        <v>46565.73</v>
      </c>
      <c r="N539" s="1" t="s">
        <v>45</v>
      </c>
      <c r="O539" s="2">
        <v>1.4034990000000001</v>
      </c>
      <c r="P539" s="3">
        <f t="shared" si="16"/>
        <v>46565.73</v>
      </c>
      <c r="Q539" s="3" t="str">
        <f t="shared" si="17"/>
        <v>911686363146565.73</v>
      </c>
      <c r="R539" t="s">
        <v>59</v>
      </c>
    </row>
    <row r="540" spans="1:20" hidden="1">
      <c r="A540" t="s">
        <v>29</v>
      </c>
      <c r="B540" s="1" t="s">
        <v>578</v>
      </c>
      <c r="C540" s="1" t="s">
        <v>69</v>
      </c>
      <c r="D540" s="1" t="s">
        <v>1244</v>
      </c>
      <c r="E540" s="1" t="s">
        <v>616</v>
      </c>
      <c r="F540" s="1" t="s">
        <v>222</v>
      </c>
      <c r="G540" s="1" t="s">
        <v>1245</v>
      </c>
      <c r="H540" s="1" t="s">
        <v>1236</v>
      </c>
      <c r="I540" s="1">
        <v>18</v>
      </c>
      <c r="J540" s="2">
        <v>930</v>
      </c>
      <c r="K540" s="2">
        <v>930</v>
      </c>
      <c r="L540" s="2">
        <v>930</v>
      </c>
      <c r="M540" s="2">
        <v>930</v>
      </c>
      <c r="N540" s="1" t="s">
        <v>36</v>
      </c>
      <c r="O540" s="2">
        <v>1</v>
      </c>
      <c r="P540" s="3">
        <f t="shared" si="16"/>
        <v>697.5</v>
      </c>
      <c r="Q540" s="3" t="str">
        <f t="shared" si="17"/>
        <v>FGL0005000930</v>
      </c>
    </row>
    <row r="541" spans="1:20" hidden="1">
      <c r="A541" t="s">
        <v>29</v>
      </c>
      <c r="B541" s="1" t="s">
        <v>578</v>
      </c>
      <c r="C541" s="1" t="s">
        <v>69</v>
      </c>
      <c r="D541" s="1" t="s">
        <v>1246</v>
      </c>
      <c r="E541" s="1" t="s">
        <v>616</v>
      </c>
      <c r="F541" s="1" t="s">
        <v>222</v>
      </c>
      <c r="G541" s="1" t="s">
        <v>1245</v>
      </c>
      <c r="H541" s="1" t="s">
        <v>1236</v>
      </c>
      <c r="I541" s="1">
        <v>18</v>
      </c>
      <c r="J541" s="2">
        <v>970</v>
      </c>
      <c r="K541" s="2">
        <v>970</v>
      </c>
      <c r="L541" s="2">
        <v>970</v>
      </c>
      <c r="M541" s="2">
        <v>970</v>
      </c>
      <c r="N541" s="1" t="s">
        <v>36</v>
      </c>
      <c r="O541" s="2">
        <v>1</v>
      </c>
      <c r="P541" s="3">
        <f t="shared" si="16"/>
        <v>727.5</v>
      </c>
      <c r="Q541" s="3" t="str">
        <f t="shared" si="17"/>
        <v>FGL0005004970</v>
      </c>
    </row>
    <row r="542" spans="1:20" hidden="1">
      <c r="A542" t="s">
        <v>29</v>
      </c>
      <c r="B542" s="1" t="s">
        <v>578</v>
      </c>
      <c r="C542" s="1" t="s">
        <v>69</v>
      </c>
      <c r="D542" s="1" t="s">
        <v>1247</v>
      </c>
      <c r="E542" s="1" t="s">
        <v>334</v>
      </c>
      <c r="F542" s="1" t="s">
        <v>335</v>
      </c>
      <c r="G542" s="1" t="s">
        <v>1248</v>
      </c>
      <c r="H542" s="1" t="s">
        <v>1236</v>
      </c>
      <c r="I542" s="1">
        <v>18</v>
      </c>
      <c r="J542" s="2">
        <v>60.14</v>
      </c>
      <c r="K542" s="2">
        <v>60.13993215</v>
      </c>
      <c r="L542" s="2">
        <v>42.85</v>
      </c>
      <c r="M542" s="2">
        <v>42.85</v>
      </c>
      <c r="N542" s="1" t="s">
        <v>45</v>
      </c>
      <c r="O542" s="2">
        <v>1.4034990000000001</v>
      </c>
      <c r="P542" s="3">
        <f t="shared" si="16"/>
        <v>42.85</v>
      </c>
      <c r="Q542" s="3" t="str">
        <f t="shared" si="17"/>
        <v>290845798342.85</v>
      </c>
      <c r="R542" t="s">
        <v>91</v>
      </c>
    </row>
    <row r="543" spans="1:20" hidden="1">
      <c r="A543" t="s">
        <v>29</v>
      </c>
      <c r="B543" s="1" t="s">
        <v>578</v>
      </c>
      <c r="C543" s="1" t="s">
        <v>69</v>
      </c>
      <c r="D543" s="1" t="s">
        <v>1249</v>
      </c>
      <c r="E543" s="1" t="s">
        <v>334</v>
      </c>
      <c r="F543" s="1" t="s">
        <v>335</v>
      </c>
      <c r="G543" s="1" t="s">
        <v>1250</v>
      </c>
      <c r="H543" s="1" t="s">
        <v>1236</v>
      </c>
      <c r="I543" s="1">
        <v>18</v>
      </c>
      <c r="J543" s="2">
        <v>3911.34</v>
      </c>
      <c r="K543" s="2">
        <v>3911.3411881500001</v>
      </c>
      <c r="L543" s="2">
        <v>2786.85</v>
      </c>
      <c r="M543" s="2">
        <v>2786.85</v>
      </c>
      <c r="N543" s="1" t="s">
        <v>45</v>
      </c>
      <c r="O543" s="2">
        <v>1.4034990000000001</v>
      </c>
      <c r="P543" s="3">
        <f t="shared" si="16"/>
        <v>2786.85</v>
      </c>
      <c r="Q543" s="3" t="str">
        <f t="shared" si="17"/>
        <v>29084561772786.85</v>
      </c>
      <c r="R543" t="s">
        <v>91</v>
      </c>
    </row>
    <row r="544" spans="1:20" hidden="1">
      <c r="A544" t="s">
        <v>29</v>
      </c>
      <c r="B544" s="1" t="s">
        <v>578</v>
      </c>
      <c r="C544" s="1" t="s">
        <v>69</v>
      </c>
      <c r="D544" s="1" t="s">
        <v>1251</v>
      </c>
      <c r="E544" s="1" t="s">
        <v>334</v>
      </c>
      <c r="F544" s="1" t="s">
        <v>335</v>
      </c>
      <c r="G544" s="1" t="s">
        <v>1220</v>
      </c>
      <c r="H544" s="1" t="s">
        <v>1236</v>
      </c>
      <c r="I544" s="1">
        <v>18</v>
      </c>
      <c r="J544" s="2">
        <v>6095.68</v>
      </c>
      <c r="K544" s="2">
        <v>6095.6768567999998</v>
      </c>
      <c r="L544" s="2">
        <v>4343.2</v>
      </c>
      <c r="M544" s="2">
        <v>4343.2</v>
      </c>
      <c r="N544" s="1" t="s">
        <v>45</v>
      </c>
      <c r="O544" s="2">
        <v>1.4034990000000001</v>
      </c>
      <c r="P544" s="3">
        <f t="shared" si="16"/>
        <v>4343.2</v>
      </c>
      <c r="Q544" s="3" t="str">
        <f t="shared" si="17"/>
        <v>29084564134343.2</v>
      </c>
      <c r="R544" t="s">
        <v>91</v>
      </c>
    </row>
    <row r="545" spans="1:19" hidden="1">
      <c r="A545" t="s">
        <v>29</v>
      </c>
      <c r="B545" s="1" t="s">
        <v>578</v>
      </c>
      <c r="C545" s="1" t="s">
        <v>69</v>
      </c>
      <c r="D545" s="1" t="s">
        <v>1252</v>
      </c>
      <c r="E545" s="1" t="s">
        <v>334</v>
      </c>
      <c r="F545" s="1" t="s">
        <v>335</v>
      </c>
      <c r="G545" s="1" t="s">
        <v>1253</v>
      </c>
      <c r="H545" s="1" t="s">
        <v>1236</v>
      </c>
      <c r="I545" s="1">
        <v>18</v>
      </c>
      <c r="J545" s="2">
        <v>155.83000000000001</v>
      </c>
      <c r="K545" s="2">
        <v>155.83049396999999</v>
      </c>
      <c r="L545" s="2">
        <v>111.03</v>
      </c>
      <c r="M545" s="2">
        <v>111.03</v>
      </c>
      <c r="N545" s="1" t="s">
        <v>45</v>
      </c>
      <c r="O545" s="2">
        <v>1.4034990000000001</v>
      </c>
      <c r="P545" s="3">
        <f t="shared" si="16"/>
        <v>111.03</v>
      </c>
      <c r="Q545" s="3" t="str">
        <f t="shared" si="17"/>
        <v>2908456416111.03</v>
      </c>
      <c r="R545" t="s">
        <v>91</v>
      </c>
    </row>
    <row r="546" spans="1:19" hidden="1">
      <c r="A546" t="s">
        <v>29</v>
      </c>
      <c r="B546" s="1" t="s">
        <v>578</v>
      </c>
      <c r="C546" s="1" t="s">
        <v>69</v>
      </c>
      <c r="D546" s="1" t="s">
        <v>1254</v>
      </c>
      <c r="E546" s="1" t="s">
        <v>334</v>
      </c>
      <c r="F546" s="1" t="s">
        <v>335</v>
      </c>
      <c r="G546" s="1" t="s">
        <v>1228</v>
      </c>
      <c r="H546" s="1" t="s">
        <v>1236</v>
      </c>
      <c r="I546" s="1">
        <v>18</v>
      </c>
      <c r="J546" s="2">
        <v>890.17</v>
      </c>
      <c r="K546" s="2">
        <v>890.16924074999997</v>
      </c>
      <c r="L546" s="2">
        <v>634.25</v>
      </c>
      <c r="M546" s="2">
        <v>634.25</v>
      </c>
      <c r="N546" s="1" t="s">
        <v>45</v>
      </c>
      <c r="O546" s="2">
        <v>1.4034990000000001</v>
      </c>
      <c r="P546" s="3">
        <f t="shared" si="16"/>
        <v>634.25</v>
      </c>
      <c r="Q546" s="3" t="str">
        <f t="shared" si="17"/>
        <v>2908457233634.25</v>
      </c>
      <c r="R546" t="s">
        <v>91</v>
      </c>
    </row>
    <row r="547" spans="1:19" hidden="1">
      <c r="A547" t="s">
        <v>29</v>
      </c>
      <c r="B547" s="1" t="s">
        <v>578</v>
      </c>
      <c r="C547" s="1" t="s">
        <v>69</v>
      </c>
      <c r="D547" s="1" t="s">
        <v>1255</v>
      </c>
      <c r="E547" s="1" t="s">
        <v>334</v>
      </c>
      <c r="F547" s="1" t="s">
        <v>335</v>
      </c>
      <c r="G547" s="1" t="s">
        <v>1256</v>
      </c>
      <c r="H547" s="1" t="s">
        <v>1236</v>
      </c>
      <c r="I547" s="1">
        <v>18</v>
      </c>
      <c r="J547" s="2">
        <v>5531.12</v>
      </c>
      <c r="K547" s="2">
        <v>5531.11938405</v>
      </c>
      <c r="L547" s="2">
        <v>3940.95</v>
      </c>
      <c r="M547" s="2">
        <v>3940.95</v>
      </c>
      <c r="N547" s="1" t="s">
        <v>45</v>
      </c>
      <c r="O547" s="2">
        <v>1.4034990000000001</v>
      </c>
      <c r="P547" s="3">
        <f t="shared" si="16"/>
        <v>3940.95</v>
      </c>
      <c r="Q547" s="3" t="str">
        <f t="shared" si="17"/>
        <v>29084572343940.95</v>
      </c>
      <c r="R547" t="s">
        <v>91</v>
      </c>
    </row>
    <row r="548" spans="1:19" hidden="1">
      <c r="A548" t="s">
        <v>29</v>
      </c>
      <c r="B548" s="1" t="s">
        <v>578</v>
      </c>
      <c r="C548" s="1" t="s">
        <v>69</v>
      </c>
      <c r="D548" s="1" t="s">
        <v>1257</v>
      </c>
      <c r="E548" s="1" t="s">
        <v>334</v>
      </c>
      <c r="F548" s="1" t="s">
        <v>335</v>
      </c>
      <c r="G548" s="1" t="s">
        <v>1258</v>
      </c>
      <c r="H548" s="1" t="s">
        <v>1236</v>
      </c>
      <c r="I548" s="1">
        <v>18</v>
      </c>
      <c r="J548" s="2">
        <v>138.02000000000001</v>
      </c>
      <c r="K548" s="2">
        <v>138.02009165999999</v>
      </c>
      <c r="L548" s="2">
        <v>98.34</v>
      </c>
      <c r="M548" s="2">
        <v>98.34</v>
      </c>
      <c r="N548" s="1" t="s">
        <v>45</v>
      </c>
      <c r="O548" s="2">
        <v>1.4034990000000001</v>
      </c>
      <c r="P548" s="3">
        <f t="shared" si="16"/>
        <v>98.34</v>
      </c>
      <c r="Q548" s="3" t="str">
        <f t="shared" si="17"/>
        <v>290845798098.34</v>
      </c>
      <c r="R548" t="s">
        <v>91</v>
      </c>
    </row>
    <row r="549" spans="1:19" hidden="1">
      <c r="A549" t="s">
        <v>29</v>
      </c>
      <c r="B549" s="1" t="s">
        <v>578</v>
      </c>
      <c r="C549" s="1" t="s">
        <v>69</v>
      </c>
      <c r="D549" s="1" t="s">
        <v>1259</v>
      </c>
      <c r="E549" s="1" t="s">
        <v>334</v>
      </c>
      <c r="F549" s="1" t="s">
        <v>335</v>
      </c>
      <c r="G549" s="1" t="s">
        <v>772</v>
      </c>
      <c r="H549" s="1" t="s">
        <v>1236</v>
      </c>
      <c r="I549" s="1">
        <v>18</v>
      </c>
      <c r="J549" s="2">
        <v>178.08</v>
      </c>
      <c r="K549" s="2">
        <v>178.07595312000001</v>
      </c>
      <c r="L549" s="2">
        <v>126.88</v>
      </c>
      <c r="M549" s="2">
        <v>126.88</v>
      </c>
      <c r="N549" s="1" t="s">
        <v>45</v>
      </c>
      <c r="O549" s="2">
        <v>1.4034990000000001</v>
      </c>
      <c r="P549" s="3">
        <f t="shared" si="16"/>
        <v>126.88</v>
      </c>
      <c r="Q549" s="3" t="str">
        <f t="shared" si="17"/>
        <v>2908457982126.88</v>
      </c>
      <c r="R549" t="s">
        <v>91</v>
      </c>
    </row>
    <row r="550" spans="1:19" hidden="1">
      <c r="A550" t="s">
        <v>29</v>
      </c>
      <c r="B550" s="1" t="s">
        <v>578</v>
      </c>
      <c r="C550" s="1" t="s">
        <v>69</v>
      </c>
      <c r="D550" s="1" t="s">
        <v>1260</v>
      </c>
      <c r="E550" s="1" t="s">
        <v>334</v>
      </c>
      <c r="F550" s="1" t="s">
        <v>335</v>
      </c>
      <c r="G550" s="1" t="s">
        <v>1261</v>
      </c>
      <c r="H550" s="1" t="s">
        <v>1236</v>
      </c>
      <c r="I550" s="1">
        <v>18</v>
      </c>
      <c r="J550" s="2">
        <v>34.159999999999997</v>
      </c>
      <c r="K550" s="2">
        <v>34.161165660000002</v>
      </c>
      <c r="L550" s="2">
        <v>24.34</v>
      </c>
      <c r="M550" s="2">
        <v>24.34</v>
      </c>
      <c r="N550" s="1" t="s">
        <v>45</v>
      </c>
      <c r="O550" s="2">
        <v>1.4034990000000001</v>
      </c>
      <c r="P550" s="3">
        <f t="shared" si="16"/>
        <v>24.34</v>
      </c>
      <c r="Q550" s="3" t="str">
        <f t="shared" si="17"/>
        <v>290846035824.34</v>
      </c>
      <c r="R550" t="s">
        <v>91</v>
      </c>
    </row>
    <row r="551" spans="1:19" hidden="1">
      <c r="A551" t="s">
        <v>29</v>
      </c>
      <c r="B551" s="1" t="s">
        <v>895</v>
      </c>
      <c r="C551" s="1" t="s">
        <v>69</v>
      </c>
      <c r="D551" s="1" t="s">
        <v>1262</v>
      </c>
      <c r="E551" s="1" t="s">
        <v>156</v>
      </c>
      <c r="F551" s="1" t="s">
        <v>156</v>
      </c>
      <c r="G551" s="1" t="s">
        <v>865</v>
      </c>
      <c r="H551" s="1" t="s">
        <v>1236</v>
      </c>
      <c r="I551" s="1">
        <v>18</v>
      </c>
      <c r="J551" s="2">
        <v>349.74</v>
      </c>
      <c r="K551" s="2">
        <v>349.74</v>
      </c>
      <c r="L551" s="2">
        <v>349.74</v>
      </c>
      <c r="M551" s="2">
        <v>349.74</v>
      </c>
      <c r="N551" s="1" t="s">
        <v>36</v>
      </c>
      <c r="O551" s="2">
        <v>1</v>
      </c>
      <c r="P551" s="3">
        <f t="shared" si="16"/>
        <v>262.30500000000001</v>
      </c>
      <c r="Q551" s="3" t="str">
        <f t="shared" si="17"/>
        <v>2-703-02477349.74</v>
      </c>
    </row>
    <row r="552" spans="1:19" hidden="1">
      <c r="A552" t="s">
        <v>29</v>
      </c>
      <c r="B552" s="1" t="s">
        <v>1236</v>
      </c>
      <c r="C552" s="1" t="s">
        <v>69</v>
      </c>
      <c r="D552" s="1" t="s">
        <v>1263</v>
      </c>
      <c r="E552" s="1" t="s">
        <v>726</v>
      </c>
      <c r="F552" s="1" t="s">
        <v>727</v>
      </c>
      <c r="G552" s="1" t="s">
        <v>1264</v>
      </c>
      <c r="H552" s="1" t="s">
        <v>1236</v>
      </c>
      <c r="I552" s="1">
        <v>18</v>
      </c>
      <c r="J552" s="2">
        <v>1225.95</v>
      </c>
      <c r="K552" s="2">
        <v>1225.952</v>
      </c>
      <c r="L552" s="2">
        <v>896</v>
      </c>
      <c r="M552" s="2">
        <v>896</v>
      </c>
      <c r="N552" s="1" t="s">
        <v>45</v>
      </c>
      <c r="O552" s="2">
        <v>1.36825</v>
      </c>
      <c r="P552" s="3">
        <f t="shared" si="16"/>
        <v>896</v>
      </c>
      <c r="Q552" s="3" t="str">
        <f t="shared" si="17"/>
        <v>IN2512095896</v>
      </c>
      <c r="R552" t="s">
        <v>74</v>
      </c>
    </row>
    <row r="553" spans="1:19" hidden="1">
      <c r="A553" t="s">
        <v>29</v>
      </c>
      <c r="B553" s="1" t="s">
        <v>596</v>
      </c>
      <c r="C553" s="1" t="s">
        <v>69</v>
      </c>
      <c r="D553" s="1" t="s">
        <v>1265</v>
      </c>
      <c r="E553" s="1" t="s">
        <v>584</v>
      </c>
      <c r="F553" s="1" t="s">
        <v>585</v>
      </c>
      <c r="G553" s="1" t="s">
        <v>752</v>
      </c>
      <c r="H553" s="1" t="s">
        <v>1266</v>
      </c>
      <c r="I553" s="1">
        <v>17</v>
      </c>
      <c r="J553" s="2">
        <v>189.9</v>
      </c>
      <c r="K553" s="2">
        <v>189.9</v>
      </c>
      <c r="L553" s="2">
        <v>189.9</v>
      </c>
      <c r="M553" s="2">
        <v>189.9</v>
      </c>
      <c r="N553" s="1" t="s">
        <v>36</v>
      </c>
      <c r="O553" s="2">
        <v>1</v>
      </c>
      <c r="P553" s="3">
        <f t="shared" si="16"/>
        <v>142.42500000000001</v>
      </c>
      <c r="Q553" s="3" t="str">
        <f t="shared" si="17"/>
        <v>7768990189.9</v>
      </c>
      <c r="R553" t="s">
        <v>758</v>
      </c>
      <c r="S553" t="s">
        <v>60</v>
      </c>
    </row>
    <row r="554" spans="1:19" hidden="1">
      <c r="A554" t="s">
        <v>29</v>
      </c>
      <c r="B554" s="1" t="s">
        <v>596</v>
      </c>
      <c r="C554" s="1" t="s">
        <v>69</v>
      </c>
      <c r="D554" s="1" t="s">
        <v>1267</v>
      </c>
      <c r="E554" s="1" t="s">
        <v>584</v>
      </c>
      <c r="F554" s="1" t="s">
        <v>585</v>
      </c>
      <c r="G554" s="1" t="s">
        <v>752</v>
      </c>
      <c r="H554" s="1" t="s">
        <v>1266</v>
      </c>
      <c r="I554" s="1">
        <v>17</v>
      </c>
      <c r="J554" s="2">
        <v>179</v>
      </c>
      <c r="K554" s="2">
        <v>179</v>
      </c>
      <c r="L554" s="2">
        <v>179</v>
      </c>
      <c r="M554" s="2">
        <v>179</v>
      </c>
      <c r="N554" s="1" t="s">
        <v>36</v>
      </c>
      <c r="O554" s="2">
        <v>1</v>
      </c>
      <c r="P554" s="3">
        <f t="shared" si="16"/>
        <v>134.25</v>
      </c>
      <c r="Q554" s="3" t="str">
        <f t="shared" si="17"/>
        <v>7768432179</v>
      </c>
      <c r="R554" t="s">
        <v>758</v>
      </c>
      <c r="S554" t="s">
        <v>60</v>
      </c>
    </row>
    <row r="555" spans="1:19" hidden="1">
      <c r="A555" t="s">
        <v>29</v>
      </c>
      <c r="B555" s="1" t="s">
        <v>596</v>
      </c>
      <c r="C555" s="1" t="s">
        <v>69</v>
      </c>
      <c r="D555" s="1" t="s">
        <v>1268</v>
      </c>
      <c r="E555" s="1" t="s">
        <v>580</v>
      </c>
      <c r="F555" s="1" t="s">
        <v>581</v>
      </c>
      <c r="G555" s="1" t="s">
        <v>1269</v>
      </c>
      <c r="H555" s="1" t="s">
        <v>1266</v>
      </c>
      <c r="I555" s="1">
        <v>17</v>
      </c>
      <c r="J555" s="2">
        <v>1569.62</v>
      </c>
      <c r="K555" s="2">
        <v>1569.6211212000001</v>
      </c>
      <c r="L555" s="2">
        <v>1118.7</v>
      </c>
      <c r="M555" s="2">
        <v>1118.7</v>
      </c>
      <c r="N555" s="1" t="s">
        <v>45</v>
      </c>
      <c r="O555" s="2">
        <v>1.403076</v>
      </c>
      <c r="P555" s="3">
        <f t="shared" si="16"/>
        <v>1118.7</v>
      </c>
      <c r="Q555" s="3" t="str">
        <f t="shared" si="17"/>
        <v>1313331118.7</v>
      </c>
      <c r="R555" t="s">
        <v>91</v>
      </c>
    </row>
    <row r="556" spans="1:19" hidden="1">
      <c r="A556" t="s">
        <v>29</v>
      </c>
      <c r="B556" s="1" t="s">
        <v>596</v>
      </c>
      <c r="C556" s="1" t="s">
        <v>69</v>
      </c>
      <c r="D556" s="1" t="s">
        <v>1270</v>
      </c>
      <c r="E556" s="1" t="s">
        <v>580</v>
      </c>
      <c r="F556" s="1" t="s">
        <v>581</v>
      </c>
      <c r="G556" s="1" t="s">
        <v>1271</v>
      </c>
      <c r="H556" s="1" t="s">
        <v>1266</v>
      </c>
      <c r="I556" s="1">
        <v>17</v>
      </c>
      <c r="J556" s="2">
        <v>8170.34</v>
      </c>
      <c r="K556" s="2">
        <v>8170.3360401600003</v>
      </c>
      <c r="L556" s="2">
        <v>5823.16</v>
      </c>
      <c r="M556" s="2">
        <v>5823.16</v>
      </c>
      <c r="N556" s="1" t="s">
        <v>45</v>
      </c>
      <c r="O556" s="2">
        <v>1.403076</v>
      </c>
      <c r="P556" s="3">
        <f t="shared" si="16"/>
        <v>5823.16</v>
      </c>
      <c r="Q556" s="3" t="str">
        <f t="shared" si="17"/>
        <v>1313325823.16</v>
      </c>
      <c r="R556" t="s">
        <v>91</v>
      </c>
    </row>
    <row r="557" spans="1:19" hidden="1">
      <c r="A557" t="s">
        <v>29</v>
      </c>
      <c r="B557" s="1" t="s">
        <v>596</v>
      </c>
      <c r="C557" s="1" t="s">
        <v>69</v>
      </c>
      <c r="D557" s="1" t="s">
        <v>1272</v>
      </c>
      <c r="E557" s="1" t="s">
        <v>580</v>
      </c>
      <c r="F557" s="1" t="s">
        <v>581</v>
      </c>
      <c r="G557" s="1" t="s">
        <v>582</v>
      </c>
      <c r="H557" s="1" t="s">
        <v>1266</v>
      </c>
      <c r="I557" s="1">
        <v>17</v>
      </c>
      <c r="J557" s="2">
        <v>24842.39</v>
      </c>
      <c r="K557" s="2">
        <v>24842.38661016</v>
      </c>
      <c r="L557" s="2">
        <v>17705.66</v>
      </c>
      <c r="M557" s="2">
        <v>17705.66</v>
      </c>
      <c r="N557" s="1" t="s">
        <v>45</v>
      </c>
      <c r="O557" s="2">
        <v>1.403076</v>
      </c>
      <c r="P557" s="3">
        <f t="shared" si="16"/>
        <v>17705.66</v>
      </c>
      <c r="Q557" s="3" t="str">
        <f t="shared" si="17"/>
        <v>13132717705.66</v>
      </c>
      <c r="R557" t="s">
        <v>91</v>
      </c>
    </row>
    <row r="558" spans="1:19" hidden="1">
      <c r="A558" t="s">
        <v>29</v>
      </c>
      <c r="B558" s="1" t="s">
        <v>596</v>
      </c>
      <c r="C558" s="1" t="s">
        <v>69</v>
      </c>
      <c r="D558" s="1" t="s">
        <v>1273</v>
      </c>
      <c r="E558" s="1" t="s">
        <v>580</v>
      </c>
      <c r="F558" s="1" t="s">
        <v>581</v>
      </c>
      <c r="G558" s="1" t="s">
        <v>1274</v>
      </c>
      <c r="H558" s="1" t="s">
        <v>1266</v>
      </c>
      <c r="I558" s="1">
        <v>17</v>
      </c>
      <c r="J558" s="2">
        <v>1301.93</v>
      </c>
      <c r="K558" s="2">
        <v>1301.9282511599999</v>
      </c>
      <c r="L558" s="2">
        <v>927.91</v>
      </c>
      <c r="M558" s="2">
        <v>927.91</v>
      </c>
      <c r="N558" s="1" t="s">
        <v>45</v>
      </c>
      <c r="O558" s="2">
        <v>1.403076</v>
      </c>
      <c r="P558" s="3">
        <f t="shared" si="16"/>
        <v>927.91</v>
      </c>
      <c r="Q558" s="3" t="str">
        <f t="shared" si="17"/>
        <v>131326927.91</v>
      </c>
      <c r="R558" t="s">
        <v>91</v>
      </c>
    </row>
    <row r="559" spans="1:19" hidden="1">
      <c r="A559" t="s">
        <v>29</v>
      </c>
      <c r="B559" s="1" t="s">
        <v>596</v>
      </c>
      <c r="C559" s="1" t="s">
        <v>69</v>
      </c>
      <c r="D559" s="1" t="s">
        <v>1275</v>
      </c>
      <c r="E559" s="1" t="s">
        <v>580</v>
      </c>
      <c r="F559" s="1" t="s">
        <v>581</v>
      </c>
      <c r="G559" s="1" t="s">
        <v>1276</v>
      </c>
      <c r="H559" s="1" t="s">
        <v>1266</v>
      </c>
      <c r="I559" s="1">
        <v>17</v>
      </c>
      <c r="J559" s="2">
        <v>143.46</v>
      </c>
      <c r="K559" s="2">
        <v>143.46452099999999</v>
      </c>
      <c r="L559" s="2">
        <v>102.25</v>
      </c>
      <c r="M559" s="2">
        <v>102.25</v>
      </c>
      <c r="N559" s="1" t="s">
        <v>45</v>
      </c>
      <c r="O559" s="2">
        <v>1.403076</v>
      </c>
      <c r="P559" s="3">
        <f t="shared" si="16"/>
        <v>102.25</v>
      </c>
      <c r="Q559" s="3" t="str">
        <f t="shared" si="17"/>
        <v>131325102.25</v>
      </c>
      <c r="R559" t="s">
        <v>91</v>
      </c>
    </row>
    <row r="560" spans="1:19" hidden="1">
      <c r="A560" t="s">
        <v>29</v>
      </c>
      <c r="B560" s="1" t="s">
        <v>596</v>
      </c>
      <c r="C560" s="1" t="s">
        <v>69</v>
      </c>
      <c r="D560" s="1" t="s">
        <v>1277</v>
      </c>
      <c r="E560" s="1" t="s">
        <v>1075</v>
      </c>
      <c r="F560" s="1" t="s">
        <v>1076</v>
      </c>
      <c r="G560" s="1" t="s">
        <v>1278</v>
      </c>
      <c r="H560" s="1" t="s">
        <v>1266</v>
      </c>
      <c r="I560" s="1">
        <v>17</v>
      </c>
      <c r="J560" s="2">
        <v>167.24</v>
      </c>
      <c r="K560" s="2">
        <v>167.24</v>
      </c>
      <c r="L560" s="2">
        <v>167.24</v>
      </c>
      <c r="M560" s="2">
        <v>167.24</v>
      </c>
      <c r="N560" s="1" t="s">
        <v>36</v>
      </c>
      <c r="O560" s="2">
        <v>1</v>
      </c>
      <c r="P560" s="3">
        <f t="shared" si="16"/>
        <v>125.43</v>
      </c>
      <c r="Q560" s="3" t="str">
        <f t="shared" si="17"/>
        <v>34393167.24</v>
      </c>
      <c r="R560" t="s">
        <v>74</v>
      </c>
      <c r="S560" t="s">
        <v>155</v>
      </c>
    </row>
    <row r="561" spans="1:20" hidden="1">
      <c r="A561" t="s">
        <v>29</v>
      </c>
      <c r="B561" s="1" t="s">
        <v>596</v>
      </c>
      <c r="C561" s="1" t="s">
        <v>69</v>
      </c>
      <c r="D561" s="1" t="s">
        <v>1279</v>
      </c>
      <c r="E561" s="1" t="s">
        <v>392</v>
      </c>
      <c r="F561" s="1" t="s">
        <v>393</v>
      </c>
      <c r="G561" s="1" t="s">
        <v>707</v>
      </c>
      <c r="H561" s="1" t="s">
        <v>1266</v>
      </c>
      <c r="I561" s="1">
        <v>17</v>
      </c>
      <c r="J561" s="2">
        <v>18080</v>
      </c>
      <c r="K561" s="2">
        <v>18080</v>
      </c>
      <c r="L561" s="2">
        <v>18080</v>
      </c>
      <c r="M561" s="2">
        <v>18080</v>
      </c>
      <c r="N561" s="1" t="s">
        <v>36</v>
      </c>
      <c r="O561" s="2">
        <v>1</v>
      </c>
      <c r="P561" s="3">
        <f t="shared" si="16"/>
        <v>13560</v>
      </c>
      <c r="Q561" s="3" t="str">
        <f t="shared" si="17"/>
        <v>000209618080</v>
      </c>
      <c r="R561" t="s">
        <v>399</v>
      </c>
    </row>
    <row r="562" spans="1:20" hidden="1">
      <c r="A562" t="s">
        <v>29</v>
      </c>
      <c r="B562" s="1" t="s">
        <v>596</v>
      </c>
      <c r="C562" s="1" t="s">
        <v>69</v>
      </c>
      <c r="D562" s="1" t="s">
        <v>1280</v>
      </c>
      <c r="E562" s="1" t="s">
        <v>392</v>
      </c>
      <c r="F562" s="1" t="s">
        <v>393</v>
      </c>
      <c r="G562" s="1" t="s">
        <v>1281</v>
      </c>
      <c r="H562" s="1" t="s">
        <v>1266</v>
      </c>
      <c r="I562" s="1">
        <v>17</v>
      </c>
      <c r="J562" s="2">
        <v>18080</v>
      </c>
      <c r="K562" s="2">
        <v>18080</v>
      </c>
      <c r="L562" s="2">
        <v>18080</v>
      </c>
      <c r="M562" s="2">
        <v>18080</v>
      </c>
      <c r="N562" s="1" t="s">
        <v>36</v>
      </c>
      <c r="O562" s="2">
        <v>1</v>
      </c>
      <c r="P562" s="3">
        <f t="shared" si="16"/>
        <v>13560</v>
      </c>
      <c r="Q562" s="3" t="str">
        <f t="shared" si="17"/>
        <v>000209718080</v>
      </c>
      <c r="R562" t="s">
        <v>395</v>
      </c>
    </row>
    <row r="563" spans="1:20" hidden="1">
      <c r="A563" t="s">
        <v>29</v>
      </c>
      <c r="B563" s="1" t="s">
        <v>596</v>
      </c>
      <c r="C563" s="1" t="s">
        <v>69</v>
      </c>
      <c r="D563" s="1" t="s">
        <v>1282</v>
      </c>
      <c r="E563" s="1" t="s">
        <v>334</v>
      </c>
      <c r="F563" s="1" t="s">
        <v>335</v>
      </c>
      <c r="G563" s="1" t="s">
        <v>1283</v>
      </c>
      <c r="H563" s="1" t="s">
        <v>1266</v>
      </c>
      <c r="I563" s="1">
        <v>17</v>
      </c>
      <c r="J563" s="2">
        <v>2783.62</v>
      </c>
      <c r="K563" s="2">
        <v>2783.6185994399998</v>
      </c>
      <c r="L563" s="2">
        <v>1983.94</v>
      </c>
      <c r="M563" s="2">
        <v>1983.94</v>
      </c>
      <c r="N563" s="1" t="s">
        <v>45</v>
      </c>
      <c r="O563" s="2">
        <v>1.403076</v>
      </c>
      <c r="P563" s="3">
        <f t="shared" si="16"/>
        <v>1983.94</v>
      </c>
      <c r="Q563" s="3" t="str">
        <f t="shared" si="17"/>
        <v>29084588511983.94</v>
      </c>
      <c r="R563" t="s">
        <v>91</v>
      </c>
    </row>
    <row r="564" spans="1:20" hidden="1">
      <c r="A564" t="s">
        <v>29</v>
      </c>
      <c r="B564" s="1" t="s">
        <v>596</v>
      </c>
      <c r="C564" s="1" t="s">
        <v>69</v>
      </c>
      <c r="D564" s="1" t="s">
        <v>1284</v>
      </c>
      <c r="E564" s="1" t="s">
        <v>334</v>
      </c>
      <c r="F564" s="1" t="s">
        <v>335</v>
      </c>
      <c r="G564" s="1" t="s">
        <v>1230</v>
      </c>
      <c r="H564" s="1" t="s">
        <v>1266</v>
      </c>
      <c r="I564" s="1">
        <v>17</v>
      </c>
      <c r="J564" s="2">
        <v>7807.75</v>
      </c>
      <c r="K564" s="2">
        <v>7807.75314024</v>
      </c>
      <c r="L564" s="2">
        <v>5564.74</v>
      </c>
      <c r="M564" s="2">
        <v>5564.74</v>
      </c>
      <c r="N564" s="1" t="s">
        <v>45</v>
      </c>
      <c r="O564" s="2">
        <v>1.403076</v>
      </c>
      <c r="P564" s="3">
        <f t="shared" si="16"/>
        <v>5564.74</v>
      </c>
      <c r="Q564" s="3" t="str">
        <f t="shared" si="17"/>
        <v>29084588535564.74</v>
      </c>
      <c r="R564" t="s">
        <v>91</v>
      </c>
    </row>
    <row r="565" spans="1:20" hidden="1">
      <c r="A565" t="s">
        <v>29</v>
      </c>
      <c r="B565" s="1" t="s">
        <v>596</v>
      </c>
      <c r="C565" s="1" t="s">
        <v>69</v>
      </c>
      <c r="D565" s="1" t="s">
        <v>1285</v>
      </c>
      <c r="E565" s="1" t="s">
        <v>334</v>
      </c>
      <c r="F565" s="1" t="s">
        <v>335</v>
      </c>
      <c r="G565" s="1" t="s">
        <v>1286</v>
      </c>
      <c r="H565" s="1" t="s">
        <v>1266</v>
      </c>
      <c r="I565" s="1">
        <v>17</v>
      </c>
      <c r="J565" s="2">
        <v>21871.43</v>
      </c>
      <c r="K565" s="2">
        <v>21871.429303199999</v>
      </c>
      <c r="L565" s="2">
        <v>15588.2</v>
      </c>
      <c r="M565" s="2">
        <v>15588.2</v>
      </c>
      <c r="N565" s="1" t="s">
        <v>45</v>
      </c>
      <c r="O565" s="2">
        <v>1.403076</v>
      </c>
      <c r="P565" s="3">
        <f t="shared" si="16"/>
        <v>15588.2</v>
      </c>
      <c r="Q565" s="3" t="str">
        <f t="shared" si="17"/>
        <v>290845891615588.2</v>
      </c>
      <c r="R565" t="s">
        <v>91</v>
      </c>
    </row>
    <row r="566" spans="1:20" hidden="1">
      <c r="A566" t="s">
        <v>29</v>
      </c>
      <c r="B566" s="1" t="s">
        <v>596</v>
      </c>
      <c r="C566" s="1" t="s">
        <v>69</v>
      </c>
      <c r="D566" s="1" t="s">
        <v>1287</v>
      </c>
      <c r="E566" s="1" t="s">
        <v>334</v>
      </c>
      <c r="F566" s="1" t="s">
        <v>335</v>
      </c>
      <c r="G566" s="1" t="s">
        <v>1253</v>
      </c>
      <c r="H566" s="1" t="s">
        <v>1266</v>
      </c>
      <c r="I566" s="1">
        <v>17</v>
      </c>
      <c r="J566" s="2">
        <v>165.37</v>
      </c>
      <c r="K566" s="2">
        <v>165.36653736</v>
      </c>
      <c r="L566" s="2">
        <v>117.86</v>
      </c>
      <c r="M566" s="2">
        <v>117.86</v>
      </c>
      <c r="N566" s="1" t="s">
        <v>45</v>
      </c>
      <c r="O566" s="2">
        <v>1.403076</v>
      </c>
      <c r="P566" s="3">
        <f t="shared" si="16"/>
        <v>117.86</v>
      </c>
      <c r="Q566" s="3" t="str">
        <f t="shared" si="17"/>
        <v>2908458917117.86</v>
      </c>
      <c r="R566" t="s">
        <v>91</v>
      </c>
    </row>
    <row r="567" spans="1:20" hidden="1">
      <c r="A567" t="s">
        <v>29</v>
      </c>
      <c r="B567" s="1" t="s">
        <v>596</v>
      </c>
      <c r="C567" s="1" t="s">
        <v>69</v>
      </c>
      <c r="D567" s="1" t="s">
        <v>1288</v>
      </c>
      <c r="E567" s="1" t="s">
        <v>334</v>
      </c>
      <c r="F567" s="1" t="s">
        <v>335</v>
      </c>
      <c r="G567" s="1" t="s">
        <v>1289</v>
      </c>
      <c r="H567" s="1" t="s">
        <v>1266</v>
      </c>
      <c r="I567" s="1">
        <v>17</v>
      </c>
      <c r="J567" s="2">
        <v>487.13</v>
      </c>
      <c r="K567" s="2">
        <v>487.13395644000002</v>
      </c>
      <c r="L567" s="2">
        <v>347.19</v>
      </c>
      <c r="M567" s="2">
        <v>347.19</v>
      </c>
      <c r="N567" s="1" t="s">
        <v>45</v>
      </c>
      <c r="O567" s="2">
        <v>1.403076</v>
      </c>
      <c r="P567" s="3">
        <f t="shared" si="16"/>
        <v>347.19</v>
      </c>
      <c r="Q567" s="3" t="str">
        <f t="shared" si="17"/>
        <v>2908459338347.19</v>
      </c>
      <c r="R567" t="s">
        <v>91</v>
      </c>
    </row>
    <row r="568" spans="1:20" hidden="1">
      <c r="A568" t="s">
        <v>29</v>
      </c>
      <c r="B568" s="1" t="s">
        <v>596</v>
      </c>
      <c r="C568" s="1" t="s">
        <v>69</v>
      </c>
      <c r="D568" s="1" t="s">
        <v>1290</v>
      </c>
      <c r="E568" s="1" t="s">
        <v>334</v>
      </c>
      <c r="F568" s="1" t="s">
        <v>335</v>
      </c>
      <c r="G568" s="1" t="s">
        <v>1258</v>
      </c>
      <c r="H568" s="1" t="s">
        <v>1266</v>
      </c>
      <c r="I568" s="1">
        <v>17</v>
      </c>
      <c r="J568" s="2">
        <v>6898.92</v>
      </c>
      <c r="K568" s="2">
        <v>6898.9246919999996</v>
      </c>
      <c r="L568" s="2">
        <v>4917</v>
      </c>
      <c r="M568" s="2">
        <v>4917</v>
      </c>
      <c r="N568" s="1" t="s">
        <v>45</v>
      </c>
      <c r="O568" s="2">
        <v>1.403076</v>
      </c>
      <c r="P568" s="3">
        <f t="shared" si="16"/>
        <v>4917</v>
      </c>
      <c r="Q568" s="3" t="str">
        <f t="shared" si="17"/>
        <v>29084599024917</v>
      </c>
      <c r="R568" t="s">
        <v>91</v>
      </c>
    </row>
    <row r="569" spans="1:20" hidden="1">
      <c r="A569" t="s">
        <v>29</v>
      </c>
      <c r="B569" s="1" t="s">
        <v>606</v>
      </c>
      <c r="C569" s="1" t="s">
        <v>69</v>
      </c>
      <c r="D569" s="1" t="s">
        <v>1291</v>
      </c>
      <c r="E569" s="1" t="s">
        <v>1292</v>
      </c>
      <c r="F569" s="1" t="s">
        <v>1293</v>
      </c>
      <c r="G569" s="1" t="s">
        <v>1294</v>
      </c>
      <c r="H569" s="1" t="s">
        <v>1295</v>
      </c>
      <c r="I569" s="1">
        <v>16</v>
      </c>
      <c r="J569" s="2">
        <v>9063.02</v>
      </c>
      <c r="K569" s="2">
        <v>9063.0187874999992</v>
      </c>
      <c r="L569" s="2">
        <v>6479.37</v>
      </c>
      <c r="M569" s="2">
        <v>6479.37</v>
      </c>
      <c r="N569" s="1" t="s">
        <v>45</v>
      </c>
      <c r="O569" s="2">
        <v>1.3987499999999999</v>
      </c>
      <c r="P569" s="3">
        <f t="shared" si="16"/>
        <v>6479.37</v>
      </c>
      <c r="Q569" s="3" t="str">
        <f t="shared" si="17"/>
        <v>358968586479.37</v>
      </c>
      <c r="R569" t="s">
        <v>1296</v>
      </c>
      <c r="S569" t="s">
        <v>60</v>
      </c>
    </row>
    <row r="570" spans="1:20" hidden="1">
      <c r="A570" t="s">
        <v>29</v>
      </c>
      <c r="B570" s="1" t="s">
        <v>606</v>
      </c>
      <c r="C570" s="1" t="s">
        <v>69</v>
      </c>
      <c r="D570" s="1" t="s">
        <v>1297</v>
      </c>
      <c r="E570" s="1" t="s">
        <v>320</v>
      </c>
      <c r="F570" s="1" t="s">
        <v>151</v>
      </c>
      <c r="G570" s="1" t="s">
        <v>1298</v>
      </c>
      <c r="H570" s="1" t="s">
        <v>1295</v>
      </c>
      <c r="I570" s="1">
        <v>16</v>
      </c>
      <c r="J570" s="2">
        <v>1085.71</v>
      </c>
      <c r="K570" s="2">
        <v>1085.70975</v>
      </c>
      <c r="L570" s="2">
        <v>776.2</v>
      </c>
      <c r="M570" s="2">
        <v>776.2</v>
      </c>
      <c r="N570" s="1" t="s">
        <v>45</v>
      </c>
      <c r="O570" s="2">
        <v>1.3987499999999999</v>
      </c>
      <c r="P570" s="3">
        <f t="shared" si="16"/>
        <v>776.2</v>
      </c>
      <c r="Q570" s="3" t="str">
        <f t="shared" si="17"/>
        <v>CB00478456776.2</v>
      </c>
      <c r="R570" t="s">
        <v>59</v>
      </c>
      <c r="S570" t="s">
        <v>60</v>
      </c>
      <c r="T570" t="s">
        <v>102</v>
      </c>
    </row>
    <row r="571" spans="1:20" hidden="1">
      <c r="A571" t="s">
        <v>29</v>
      </c>
      <c r="B571" s="1" t="s">
        <v>606</v>
      </c>
      <c r="C571" s="1" t="s">
        <v>69</v>
      </c>
      <c r="D571" s="1" t="s">
        <v>1299</v>
      </c>
      <c r="E571" s="1" t="s">
        <v>584</v>
      </c>
      <c r="F571" s="1" t="s">
        <v>585</v>
      </c>
      <c r="G571" s="1" t="s">
        <v>752</v>
      </c>
      <c r="H571" s="1" t="s">
        <v>1295</v>
      </c>
      <c r="I571" s="1">
        <v>16</v>
      </c>
      <c r="J571" s="2">
        <v>179</v>
      </c>
      <c r="K571" s="2">
        <v>179</v>
      </c>
      <c r="L571" s="2">
        <v>179</v>
      </c>
      <c r="M571" s="2">
        <v>179</v>
      </c>
      <c r="N571" s="1" t="s">
        <v>36</v>
      </c>
      <c r="O571" s="2">
        <v>1</v>
      </c>
      <c r="P571" s="3">
        <f t="shared" si="16"/>
        <v>134.25</v>
      </c>
      <c r="Q571" s="3" t="str">
        <f t="shared" si="17"/>
        <v>7773454179</v>
      </c>
    </row>
    <row r="572" spans="1:20" hidden="1">
      <c r="A572" t="s">
        <v>29</v>
      </c>
      <c r="B572" s="1" t="s">
        <v>606</v>
      </c>
      <c r="C572" s="1" t="s">
        <v>69</v>
      </c>
      <c r="D572" s="1" t="s">
        <v>1300</v>
      </c>
      <c r="E572" s="1" t="s">
        <v>584</v>
      </c>
      <c r="F572" s="1" t="s">
        <v>585</v>
      </c>
      <c r="G572" s="1" t="s">
        <v>752</v>
      </c>
      <c r="H572" s="1" t="s">
        <v>1295</v>
      </c>
      <c r="I572" s="1">
        <v>16</v>
      </c>
      <c r="J572" s="2">
        <v>179</v>
      </c>
      <c r="K572" s="2">
        <v>179</v>
      </c>
      <c r="L572" s="2">
        <v>179</v>
      </c>
      <c r="M572" s="2">
        <v>179</v>
      </c>
      <c r="N572" s="1" t="s">
        <v>36</v>
      </c>
      <c r="O572" s="2">
        <v>1</v>
      </c>
      <c r="P572" s="3">
        <f t="shared" si="16"/>
        <v>134.25</v>
      </c>
      <c r="Q572" s="3" t="str">
        <f t="shared" si="17"/>
        <v>7773193179</v>
      </c>
    </row>
    <row r="573" spans="1:20" hidden="1">
      <c r="A573" t="s">
        <v>29</v>
      </c>
      <c r="B573" s="1" t="s">
        <v>606</v>
      </c>
      <c r="C573" s="1" t="s">
        <v>69</v>
      </c>
      <c r="D573" s="1" t="s">
        <v>1301</v>
      </c>
      <c r="E573" s="1" t="s">
        <v>392</v>
      </c>
      <c r="F573" s="1" t="s">
        <v>393</v>
      </c>
      <c r="G573" s="1" t="s">
        <v>1281</v>
      </c>
      <c r="H573" s="1" t="s">
        <v>1295</v>
      </c>
      <c r="I573" s="1">
        <v>16</v>
      </c>
      <c r="J573" s="2">
        <v>11978</v>
      </c>
      <c r="K573" s="2">
        <v>11978</v>
      </c>
      <c r="L573" s="2">
        <v>11978</v>
      </c>
      <c r="M573" s="2">
        <v>11978</v>
      </c>
      <c r="N573" s="1" t="s">
        <v>36</v>
      </c>
      <c r="O573" s="2">
        <v>1</v>
      </c>
      <c r="P573" s="3">
        <f t="shared" si="16"/>
        <v>8983.5</v>
      </c>
      <c r="Q573" s="3" t="str">
        <f t="shared" si="17"/>
        <v>000209911978</v>
      </c>
      <c r="R573" t="s">
        <v>395</v>
      </c>
    </row>
    <row r="574" spans="1:20" hidden="1">
      <c r="A574" t="s">
        <v>29</v>
      </c>
      <c r="B574" s="1" t="s">
        <v>606</v>
      </c>
      <c r="C574" s="1" t="s">
        <v>69</v>
      </c>
      <c r="D574" s="1" t="s">
        <v>1302</v>
      </c>
      <c r="E574" s="1" t="s">
        <v>485</v>
      </c>
      <c r="F574" s="1" t="s">
        <v>486</v>
      </c>
      <c r="G574" s="1" t="s">
        <v>1303</v>
      </c>
      <c r="H574" s="1" t="s">
        <v>1295</v>
      </c>
      <c r="I574" s="1">
        <v>16</v>
      </c>
      <c r="J574" s="2">
        <v>4650.84</v>
      </c>
      <c r="K574" s="2">
        <v>4650.84375</v>
      </c>
      <c r="L574" s="2">
        <v>3325</v>
      </c>
      <c r="M574" s="2">
        <v>3325</v>
      </c>
      <c r="N574" s="1" t="s">
        <v>45</v>
      </c>
      <c r="O574" s="2">
        <v>1.3987499999999999</v>
      </c>
      <c r="P574" s="3">
        <f t="shared" si="16"/>
        <v>3325</v>
      </c>
      <c r="Q574" s="3" t="str">
        <f t="shared" si="17"/>
        <v>CAR22-25B000063325</v>
      </c>
      <c r="R574" t="s">
        <v>74</v>
      </c>
      <c r="S574" t="s">
        <v>155</v>
      </c>
    </row>
    <row r="575" spans="1:20" hidden="1">
      <c r="A575" t="s">
        <v>29</v>
      </c>
      <c r="B575" s="1" t="s">
        <v>606</v>
      </c>
      <c r="C575" s="1" t="s">
        <v>69</v>
      </c>
      <c r="D575" s="1" t="s">
        <v>1304</v>
      </c>
      <c r="E575" s="1" t="s">
        <v>334</v>
      </c>
      <c r="F575" s="1" t="s">
        <v>335</v>
      </c>
      <c r="G575" s="1" t="s">
        <v>989</v>
      </c>
      <c r="H575" s="1" t="s">
        <v>1295</v>
      </c>
      <c r="I575" s="1">
        <v>16</v>
      </c>
      <c r="J575" s="2">
        <v>158.03</v>
      </c>
      <c r="K575" s="2">
        <v>158.03077500000001</v>
      </c>
      <c r="L575" s="2">
        <v>112.98</v>
      </c>
      <c r="M575" s="2">
        <v>112.98</v>
      </c>
      <c r="N575" s="1" t="s">
        <v>45</v>
      </c>
      <c r="O575" s="2">
        <v>1.3987499999999999</v>
      </c>
      <c r="P575" s="3">
        <f t="shared" si="16"/>
        <v>112.98</v>
      </c>
      <c r="Q575" s="3" t="str">
        <f t="shared" si="17"/>
        <v>2908463516112.98</v>
      </c>
      <c r="R575" t="s">
        <v>91</v>
      </c>
    </row>
    <row r="576" spans="1:20" hidden="1">
      <c r="A576" t="s">
        <v>29</v>
      </c>
      <c r="B576" s="1" t="s">
        <v>606</v>
      </c>
      <c r="C576" s="1" t="s">
        <v>69</v>
      </c>
      <c r="D576" s="1" t="s">
        <v>1305</v>
      </c>
      <c r="E576" s="1" t="s">
        <v>334</v>
      </c>
      <c r="F576" s="1" t="s">
        <v>335</v>
      </c>
      <c r="G576" s="1" t="s">
        <v>1306</v>
      </c>
      <c r="H576" s="1" t="s">
        <v>1295</v>
      </c>
      <c r="I576" s="1">
        <v>16</v>
      </c>
      <c r="J576" s="2">
        <v>5595.95</v>
      </c>
      <c r="K576" s="2">
        <v>5595.9511499999999</v>
      </c>
      <c r="L576" s="2">
        <v>4000.68</v>
      </c>
      <c r="M576" s="2">
        <v>4000.68</v>
      </c>
      <c r="N576" s="1" t="s">
        <v>45</v>
      </c>
      <c r="O576" s="2">
        <v>1.3987499999999999</v>
      </c>
      <c r="P576" s="3">
        <f t="shared" si="16"/>
        <v>4000.68</v>
      </c>
      <c r="Q576" s="3" t="str">
        <f t="shared" si="17"/>
        <v>29084611154000.68</v>
      </c>
      <c r="R576" t="s">
        <v>91</v>
      </c>
    </row>
    <row r="577" spans="1:20" hidden="1">
      <c r="A577" t="s">
        <v>29</v>
      </c>
      <c r="B577" s="1" t="s">
        <v>606</v>
      </c>
      <c r="C577" s="1" t="s">
        <v>69</v>
      </c>
      <c r="D577" s="1" t="s">
        <v>1307</v>
      </c>
      <c r="E577" s="1" t="s">
        <v>334</v>
      </c>
      <c r="F577" s="1" t="s">
        <v>335</v>
      </c>
      <c r="G577" s="1" t="s">
        <v>1308</v>
      </c>
      <c r="H577" s="1" t="s">
        <v>1295</v>
      </c>
      <c r="I577" s="1">
        <v>16</v>
      </c>
      <c r="J577" s="2">
        <v>66.73</v>
      </c>
      <c r="K577" s="2">
        <v>66.734362500000003</v>
      </c>
      <c r="L577" s="2">
        <v>47.71</v>
      </c>
      <c r="M577" s="2">
        <v>47.71</v>
      </c>
      <c r="N577" s="1" t="s">
        <v>45</v>
      </c>
      <c r="O577" s="2">
        <v>1.3987499999999999</v>
      </c>
      <c r="P577" s="3">
        <f t="shared" ref="P577:P639" si="18">IF(N577="CAD",$P$1,1)*M577</f>
        <v>47.71</v>
      </c>
      <c r="Q577" s="3" t="str">
        <f t="shared" ref="Q577:Q639" si="19">D577&amp;M577</f>
        <v>290846126447.71</v>
      </c>
      <c r="R577" t="s">
        <v>91</v>
      </c>
    </row>
    <row r="578" spans="1:20" hidden="1">
      <c r="A578" t="s">
        <v>29</v>
      </c>
      <c r="B578" s="1" t="s">
        <v>606</v>
      </c>
      <c r="C578" s="1" t="s">
        <v>69</v>
      </c>
      <c r="D578" s="1" t="s">
        <v>1309</v>
      </c>
      <c r="E578" s="1" t="s">
        <v>334</v>
      </c>
      <c r="F578" s="1" t="s">
        <v>335</v>
      </c>
      <c r="G578" s="1" t="s">
        <v>1230</v>
      </c>
      <c r="H578" s="1" t="s">
        <v>1295</v>
      </c>
      <c r="I578" s="1">
        <v>16</v>
      </c>
      <c r="J578" s="2">
        <v>780.35</v>
      </c>
      <c r="K578" s="2">
        <v>780.3486375</v>
      </c>
      <c r="L578" s="2">
        <v>557.89</v>
      </c>
      <c r="M578" s="2">
        <v>557.89</v>
      </c>
      <c r="N578" s="1" t="s">
        <v>45</v>
      </c>
      <c r="O578" s="2">
        <v>1.3987499999999999</v>
      </c>
      <c r="P578" s="3">
        <f t="shared" si="18"/>
        <v>557.89</v>
      </c>
      <c r="Q578" s="3" t="str">
        <f t="shared" si="19"/>
        <v>2908462544557.89</v>
      </c>
      <c r="R578" t="s">
        <v>91</v>
      </c>
    </row>
    <row r="579" spans="1:20" hidden="1">
      <c r="A579" t="s">
        <v>29</v>
      </c>
      <c r="B579" s="1" t="s">
        <v>606</v>
      </c>
      <c r="C579" s="1" t="s">
        <v>69</v>
      </c>
      <c r="D579" s="1" t="s">
        <v>1310</v>
      </c>
      <c r="E579" s="1" t="s">
        <v>334</v>
      </c>
      <c r="F579" s="1" t="s">
        <v>335</v>
      </c>
      <c r="G579" s="1" t="s">
        <v>1311</v>
      </c>
      <c r="H579" s="1" t="s">
        <v>1295</v>
      </c>
      <c r="I579" s="1">
        <v>16</v>
      </c>
      <c r="J579" s="2">
        <v>1488.44</v>
      </c>
      <c r="K579" s="2">
        <v>1488.43785</v>
      </c>
      <c r="L579" s="2">
        <v>1064.1199999999999</v>
      </c>
      <c r="M579" s="2">
        <v>1064.1199999999999</v>
      </c>
      <c r="N579" s="1" t="s">
        <v>45</v>
      </c>
      <c r="O579" s="2">
        <v>1.3987499999999999</v>
      </c>
      <c r="P579" s="3">
        <f t="shared" si="18"/>
        <v>1064.1199999999999</v>
      </c>
      <c r="Q579" s="3" t="str">
        <f t="shared" si="19"/>
        <v>29084625461064.12</v>
      </c>
      <c r="R579" t="s">
        <v>91</v>
      </c>
    </row>
    <row r="580" spans="1:20" hidden="1">
      <c r="A580" t="s">
        <v>29</v>
      </c>
      <c r="B580" s="1" t="s">
        <v>606</v>
      </c>
      <c r="C580" s="1" t="s">
        <v>69</v>
      </c>
      <c r="D580" s="1" t="s">
        <v>1312</v>
      </c>
      <c r="E580" s="1" t="s">
        <v>334</v>
      </c>
      <c r="F580" s="1" t="s">
        <v>335</v>
      </c>
      <c r="G580" s="1" t="s">
        <v>1258</v>
      </c>
      <c r="H580" s="1" t="s">
        <v>1295</v>
      </c>
      <c r="I580" s="1">
        <v>16</v>
      </c>
      <c r="J580" s="2">
        <v>2318.7800000000002</v>
      </c>
      <c r="K580" s="2">
        <v>2318.7778125</v>
      </c>
      <c r="L580" s="2">
        <v>1657.75</v>
      </c>
      <c r="M580" s="2">
        <v>1657.75</v>
      </c>
      <c r="N580" s="1" t="s">
        <v>45</v>
      </c>
      <c r="O580" s="2">
        <v>1.3987499999999999</v>
      </c>
      <c r="P580" s="3">
        <f t="shared" si="18"/>
        <v>1657.75</v>
      </c>
      <c r="Q580" s="3" t="str">
        <f t="shared" si="19"/>
        <v>29084630351657.75</v>
      </c>
      <c r="R580" t="s">
        <v>91</v>
      </c>
    </row>
    <row r="581" spans="1:20" hidden="1">
      <c r="A581" t="s">
        <v>29</v>
      </c>
      <c r="B581" s="1" t="s">
        <v>606</v>
      </c>
      <c r="C581" s="1" t="s">
        <v>69</v>
      </c>
      <c r="D581" s="1" t="s">
        <v>1313</v>
      </c>
      <c r="E581" s="1" t="s">
        <v>334</v>
      </c>
      <c r="F581" s="1" t="s">
        <v>335</v>
      </c>
      <c r="G581" s="1" t="s">
        <v>772</v>
      </c>
      <c r="H581" s="1" t="s">
        <v>1295</v>
      </c>
      <c r="I581" s="1">
        <v>16</v>
      </c>
      <c r="J581" s="2">
        <v>2853.23</v>
      </c>
      <c r="K581" s="2">
        <v>2853.2262000000001</v>
      </c>
      <c r="L581" s="2">
        <v>2039.84</v>
      </c>
      <c r="M581" s="2">
        <v>2039.84</v>
      </c>
      <c r="N581" s="1" t="s">
        <v>45</v>
      </c>
      <c r="O581" s="2">
        <v>1.3987499999999999</v>
      </c>
      <c r="P581" s="3">
        <f t="shared" si="18"/>
        <v>2039.84</v>
      </c>
      <c r="Q581" s="3" t="str">
        <f t="shared" si="19"/>
        <v>29084635142039.84</v>
      </c>
      <c r="R581" t="s">
        <v>91</v>
      </c>
    </row>
    <row r="582" spans="1:20" hidden="1">
      <c r="A582" t="s">
        <v>29</v>
      </c>
      <c r="B582" s="1" t="s">
        <v>640</v>
      </c>
      <c r="C582" s="1" t="s">
        <v>69</v>
      </c>
      <c r="D582" s="1" t="s">
        <v>1314</v>
      </c>
      <c r="E582" s="1" t="s">
        <v>580</v>
      </c>
      <c r="F582" s="1" t="s">
        <v>581</v>
      </c>
      <c r="G582" s="1" t="s">
        <v>1315</v>
      </c>
      <c r="H582" s="1" t="s">
        <v>1316</v>
      </c>
      <c r="I582" s="1">
        <v>15</v>
      </c>
      <c r="J582" s="2">
        <v>13276.94</v>
      </c>
      <c r="K582" s="2">
        <v>13276.934999999999</v>
      </c>
      <c r="L582" s="2">
        <v>9492</v>
      </c>
      <c r="M582" s="2">
        <v>9492</v>
      </c>
      <c r="N582" s="1" t="s">
        <v>45</v>
      </c>
      <c r="O582" s="2">
        <v>1.3987499999999999</v>
      </c>
      <c r="P582" s="3">
        <f t="shared" si="18"/>
        <v>9492</v>
      </c>
      <c r="Q582" s="3" t="str">
        <f t="shared" si="19"/>
        <v>1314039492</v>
      </c>
      <c r="R582" t="s">
        <v>74</v>
      </c>
      <c r="S582" t="s">
        <v>60</v>
      </c>
      <c r="T582" t="s">
        <v>102</v>
      </c>
    </row>
    <row r="583" spans="1:20" hidden="1">
      <c r="A583" t="s">
        <v>29</v>
      </c>
      <c r="B583" s="1" t="s">
        <v>640</v>
      </c>
      <c r="C583" s="1" t="s">
        <v>69</v>
      </c>
      <c r="D583" s="1" t="s">
        <v>1317</v>
      </c>
      <c r="E583" s="1" t="s">
        <v>334</v>
      </c>
      <c r="F583" s="1" t="s">
        <v>335</v>
      </c>
      <c r="G583" s="1" t="s">
        <v>956</v>
      </c>
      <c r="H583" s="1" t="s">
        <v>1316</v>
      </c>
      <c r="I583" s="1">
        <v>15</v>
      </c>
      <c r="J583" s="2">
        <v>66.75</v>
      </c>
      <c r="K583" s="2">
        <v>66.748350000000002</v>
      </c>
      <c r="L583" s="2">
        <v>47.72</v>
      </c>
      <c r="M583" s="2">
        <v>47.72</v>
      </c>
      <c r="N583" s="1" t="s">
        <v>45</v>
      </c>
      <c r="O583" s="2">
        <v>1.3987499999999999</v>
      </c>
      <c r="P583" s="3">
        <f t="shared" si="18"/>
        <v>47.72</v>
      </c>
      <c r="Q583" s="3" t="str">
        <f t="shared" si="19"/>
        <v>290846583047.72</v>
      </c>
      <c r="R583" t="s">
        <v>91</v>
      </c>
    </row>
    <row r="584" spans="1:20" hidden="1">
      <c r="A584" t="s">
        <v>29</v>
      </c>
      <c r="B584" s="1" t="s">
        <v>640</v>
      </c>
      <c r="C584" s="1" t="s">
        <v>69</v>
      </c>
      <c r="D584" s="1" t="s">
        <v>1318</v>
      </c>
      <c r="E584" s="1" t="s">
        <v>334</v>
      </c>
      <c r="F584" s="1" t="s">
        <v>335</v>
      </c>
      <c r="G584" s="1" t="s">
        <v>1319</v>
      </c>
      <c r="H584" s="1" t="s">
        <v>1316</v>
      </c>
      <c r="I584" s="1">
        <v>15</v>
      </c>
      <c r="J584" s="2">
        <v>18.07</v>
      </c>
      <c r="K584" s="2">
        <v>18.071850000000001</v>
      </c>
      <c r="L584" s="2">
        <v>12.92</v>
      </c>
      <c r="M584" s="2">
        <v>12.92</v>
      </c>
      <c r="N584" s="1" t="s">
        <v>45</v>
      </c>
      <c r="O584" s="2">
        <v>1.3987499999999999</v>
      </c>
      <c r="P584" s="3">
        <f t="shared" si="18"/>
        <v>12.92</v>
      </c>
      <c r="Q584" s="3" t="str">
        <f t="shared" si="19"/>
        <v>290846449912.92</v>
      </c>
      <c r="R584" t="s">
        <v>91</v>
      </c>
    </row>
    <row r="585" spans="1:20" hidden="1">
      <c r="A585" t="s">
        <v>29</v>
      </c>
      <c r="B585" s="1" t="s">
        <v>640</v>
      </c>
      <c r="C585" s="1" t="s">
        <v>69</v>
      </c>
      <c r="D585" s="1" t="s">
        <v>1320</v>
      </c>
      <c r="E585" s="1" t="s">
        <v>334</v>
      </c>
      <c r="F585" s="1" t="s">
        <v>335</v>
      </c>
      <c r="G585" s="1" t="s">
        <v>1321</v>
      </c>
      <c r="H585" s="1" t="s">
        <v>1316</v>
      </c>
      <c r="I585" s="1">
        <v>15</v>
      </c>
      <c r="J585" s="2">
        <v>3502.58</v>
      </c>
      <c r="K585" s="2">
        <v>3502.5819000000001</v>
      </c>
      <c r="L585" s="2">
        <v>2504.08</v>
      </c>
      <c r="M585" s="2">
        <v>2504.08</v>
      </c>
      <c r="N585" s="1" t="s">
        <v>45</v>
      </c>
      <c r="O585" s="2">
        <v>1.3987499999999999</v>
      </c>
      <c r="P585" s="3">
        <f t="shared" si="18"/>
        <v>2504.08</v>
      </c>
      <c r="Q585" s="3" t="str">
        <f t="shared" si="19"/>
        <v>29084647532504.08</v>
      </c>
      <c r="R585" t="s">
        <v>91</v>
      </c>
    </row>
    <row r="586" spans="1:20" hidden="1">
      <c r="A586" t="s">
        <v>29</v>
      </c>
      <c r="B586" s="1" t="s">
        <v>640</v>
      </c>
      <c r="C586" s="1" t="s">
        <v>69</v>
      </c>
      <c r="D586" s="1" t="s">
        <v>1322</v>
      </c>
      <c r="E586" s="1" t="s">
        <v>334</v>
      </c>
      <c r="F586" s="1" t="s">
        <v>335</v>
      </c>
      <c r="G586" s="1" t="s">
        <v>1308</v>
      </c>
      <c r="H586" s="1" t="s">
        <v>1316</v>
      </c>
      <c r="I586" s="1">
        <v>15</v>
      </c>
      <c r="J586" s="2">
        <v>268.36</v>
      </c>
      <c r="K586" s="2">
        <v>268.36417499999999</v>
      </c>
      <c r="L586" s="2">
        <v>191.86</v>
      </c>
      <c r="M586" s="2">
        <v>191.86</v>
      </c>
      <c r="N586" s="1" t="s">
        <v>45</v>
      </c>
      <c r="O586" s="2">
        <v>1.3987499999999999</v>
      </c>
      <c r="P586" s="3">
        <f t="shared" si="18"/>
        <v>191.86</v>
      </c>
      <c r="Q586" s="3" t="str">
        <f t="shared" si="19"/>
        <v>2908464758191.86</v>
      </c>
      <c r="R586" t="s">
        <v>91</v>
      </c>
    </row>
    <row r="587" spans="1:20" hidden="1">
      <c r="A587" t="s">
        <v>29</v>
      </c>
      <c r="B587" s="1" t="s">
        <v>640</v>
      </c>
      <c r="C587" s="1" t="s">
        <v>69</v>
      </c>
      <c r="D587" s="1" t="s">
        <v>1323</v>
      </c>
      <c r="E587" s="1" t="s">
        <v>334</v>
      </c>
      <c r="F587" s="1" t="s">
        <v>335</v>
      </c>
      <c r="G587" s="1" t="s">
        <v>1324</v>
      </c>
      <c r="H587" s="1" t="s">
        <v>1316</v>
      </c>
      <c r="I587" s="1">
        <v>15</v>
      </c>
      <c r="J587" s="2">
        <v>313.25</v>
      </c>
      <c r="K587" s="2">
        <v>313.25006250000001</v>
      </c>
      <c r="L587" s="2">
        <v>223.95</v>
      </c>
      <c r="M587" s="2">
        <v>223.95</v>
      </c>
      <c r="N587" s="1" t="s">
        <v>45</v>
      </c>
      <c r="O587" s="2">
        <v>1.3987499999999999</v>
      </c>
      <c r="P587" s="3">
        <f t="shared" si="18"/>
        <v>223.95</v>
      </c>
      <c r="Q587" s="3" t="str">
        <f t="shared" si="19"/>
        <v>2908465057223.95</v>
      </c>
      <c r="R587" t="s">
        <v>91</v>
      </c>
    </row>
    <row r="588" spans="1:20" hidden="1">
      <c r="A588" t="s">
        <v>29</v>
      </c>
      <c r="B588" s="1" t="s">
        <v>640</v>
      </c>
      <c r="C588" s="1" t="s">
        <v>69</v>
      </c>
      <c r="D588" s="1" t="s">
        <v>1325</v>
      </c>
      <c r="E588" s="1" t="s">
        <v>334</v>
      </c>
      <c r="F588" s="1" t="s">
        <v>335</v>
      </c>
      <c r="G588" s="1" t="s">
        <v>1326</v>
      </c>
      <c r="H588" s="1" t="s">
        <v>1316</v>
      </c>
      <c r="I588" s="1">
        <v>15</v>
      </c>
      <c r="J588" s="2">
        <v>8246.9</v>
      </c>
      <c r="K588" s="2">
        <v>8246.9041125000003</v>
      </c>
      <c r="L588" s="2">
        <v>5895.91</v>
      </c>
      <c r="M588" s="2">
        <v>5895.91</v>
      </c>
      <c r="N588" s="1" t="s">
        <v>45</v>
      </c>
      <c r="O588" s="2">
        <v>1.3987499999999999</v>
      </c>
      <c r="P588" s="3">
        <f t="shared" si="18"/>
        <v>5895.91</v>
      </c>
      <c r="Q588" s="3" t="str">
        <f t="shared" si="19"/>
        <v>29084650595895.91</v>
      </c>
      <c r="R588" t="s">
        <v>91</v>
      </c>
    </row>
    <row r="589" spans="1:20" hidden="1">
      <c r="A589" t="s">
        <v>29</v>
      </c>
      <c r="B589" s="1" t="s">
        <v>640</v>
      </c>
      <c r="C589" s="1" t="s">
        <v>69</v>
      </c>
      <c r="D589" s="1" t="s">
        <v>1327</v>
      </c>
      <c r="E589" s="1" t="s">
        <v>334</v>
      </c>
      <c r="F589" s="1" t="s">
        <v>335</v>
      </c>
      <c r="G589" s="1" t="s">
        <v>1306</v>
      </c>
      <c r="H589" s="1" t="s">
        <v>1316</v>
      </c>
      <c r="I589" s="1">
        <v>15</v>
      </c>
      <c r="J589" s="2">
        <v>6652.76</v>
      </c>
      <c r="K589" s="2">
        <v>6652.7627249999996</v>
      </c>
      <c r="L589" s="2">
        <v>4756.22</v>
      </c>
      <c r="M589" s="2">
        <v>4756.22</v>
      </c>
      <c r="N589" s="1" t="s">
        <v>45</v>
      </c>
      <c r="O589" s="2">
        <v>1.3987499999999999</v>
      </c>
      <c r="P589" s="3">
        <f t="shared" si="18"/>
        <v>4756.22</v>
      </c>
      <c r="Q589" s="3" t="str">
        <f t="shared" si="19"/>
        <v>29084653314756.22</v>
      </c>
      <c r="R589" t="s">
        <v>91</v>
      </c>
    </row>
    <row r="590" spans="1:20" hidden="1">
      <c r="A590" t="s">
        <v>29</v>
      </c>
      <c r="B590" s="1" t="s">
        <v>640</v>
      </c>
      <c r="C590" s="1" t="s">
        <v>69</v>
      </c>
      <c r="D590" s="1" t="s">
        <v>1328</v>
      </c>
      <c r="E590" s="1" t="s">
        <v>334</v>
      </c>
      <c r="F590" s="1" t="s">
        <v>335</v>
      </c>
      <c r="G590" s="1" t="s">
        <v>1228</v>
      </c>
      <c r="H590" s="1" t="s">
        <v>1316</v>
      </c>
      <c r="I590" s="1">
        <v>15</v>
      </c>
      <c r="J590" s="2">
        <v>1124.75</v>
      </c>
      <c r="K590" s="2">
        <v>1124.7488625000001</v>
      </c>
      <c r="L590" s="2">
        <v>804.11</v>
      </c>
      <c r="M590" s="2">
        <v>804.11</v>
      </c>
      <c r="N590" s="1" t="s">
        <v>45</v>
      </c>
      <c r="O590" s="2">
        <v>1.3987499999999999</v>
      </c>
      <c r="P590" s="3">
        <f t="shared" si="18"/>
        <v>804.11</v>
      </c>
      <c r="Q590" s="3" t="str">
        <f t="shared" si="19"/>
        <v>2908465397804.11</v>
      </c>
      <c r="R590" t="s">
        <v>91</v>
      </c>
    </row>
    <row r="591" spans="1:20" hidden="1">
      <c r="A591" t="s">
        <v>29</v>
      </c>
      <c r="B591" s="1" t="s">
        <v>640</v>
      </c>
      <c r="C591" s="1" t="s">
        <v>69</v>
      </c>
      <c r="D591" s="1" t="s">
        <v>1329</v>
      </c>
      <c r="E591" s="1" t="s">
        <v>334</v>
      </c>
      <c r="F591" s="1" t="s">
        <v>335</v>
      </c>
      <c r="G591" s="1" t="s">
        <v>1228</v>
      </c>
      <c r="H591" s="1" t="s">
        <v>1316</v>
      </c>
      <c r="I591" s="1">
        <v>15</v>
      </c>
      <c r="J591" s="2">
        <v>992.29</v>
      </c>
      <c r="K591" s="2">
        <v>992.28723749999995</v>
      </c>
      <c r="L591" s="2">
        <v>709.41</v>
      </c>
      <c r="M591" s="2">
        <v>709.41</v>
      </c>
      <c r="N591" s="1" t="s">
        <v>45</v>
      </c>
      <c r="O591" s="2">
        <v>1.3987499999999999</v>
      </c>
      <c r="P591" s="3">
        <f t="shared" si="18"/>
        <v>709.41</v>
      </c>
      <c r="Q591" s="3" t="str">
        <f t="shared" si="19"/>
        <v>2908465555709.41</v>
      </c>
      <c r="R591" t="s">
        <v>91</v>
      </c>
    </row>
    <row r="592" spans="1:20" hidden="1">
      <c r="A592" t="s">
        <v>29</v>
      </c>
      <c r="B592" s="1" t="s">
        <v>640</v>
      </c>
      <c r="C592" s="1" t="s">
        <v>69</v>
      </c>
      <c r="D592" s="1" t="s">
        <v>1330</v>
      </c>
      <c r="E592" s="1" t="s">
        <v>334</v>
      </c>
      <c r="F592" s="1" t="s">
        <v>335</v>
      </c>
      <c r="G592" s="1" t="s">
        <v>1331</v>
      </c>
      <c r="H592" s="1" t="s">
        <v>1316</v>
      </c>
      <c r="I592" s="1">
        <v>15</v>
      </c>
      <c r="J592" s="2">
        <v>11182.91</v>
      </c>
      <c r="K592" s="2">
        <v>11182.908337499999</v>
      </c>
      <c r="L592" s="2">
        <v>7994.93</v>
      </c>
      <c r="M592" s="2">
        <v>7994.93</v>
      </c>
      <c r="N592" s="1" t="s">
        <v>45</v>
      </c>
      <c r="O592" s="2">
        <v>1.3987499999999999</v>
      </c>
      <c r="P592" s="3">
        <f t="shared" si="18"/>
        <v>7994.93</v>
      </c>
      <c r="Q592" s="3" t="str">
        <f t="shared" si="19"/>
        <v>29084655567994.93</v>
      </c>
      <c r="R592" t="s">
        <v>91</v>
      </c>
    </row>
    <row r="593" spans="1:20" hidden="1">
      <c r="A593" t="s">
        <v>29</v>
      </c>
      <c r="B593" s="1" t="s">
        <v>640</v>
      </c>
      <c r="C593" s="1" t="s">
        <v>69</v>
      </c>
      <c r="D593" s="1" t="s">
        <v>1332</v>
      </c>
      <c r="E593" s="1" t="s">
        <v>334</v>
      </c>
      <c r="F593" s="1" t="s">
        <v>335</v>
      </c>
      <c r="G593" s="1" t="s">
        <v>772</v>
      </c>
      <c r="H593" s="1" t="s">
        <v>1316</v>
      </c>
      <c r="I593" s="1">
        <v>15</v>
      </c>
      <c r="J593" s="2">
        <v>1624.56</v>
      </c>
      <c r="K593" s="2">
        <v>1624.5642</v>
      </c>
      <c r="L593" s="2">
        <v>1161.44</v>
      </c>
      <c r="M593" s="2">
        <v>1161.44</v>
      </c>
      <c r="N593" s="1" t="s">
        <v>45</v>
      </c>
      <c r="O593" s="2">
        <v>1.3987499999999999</v>
      </c>
      <c r="P593" s="3">
        <f t="shared" si="18"/>
        <v>1161.44</v>
      </c>
      <c r="Q593" s="3" t="str">
        <f t="shared" si="19"/>
        <v>29084658271161.44</v>
      </c>
      <c r="R593" t="s">
        <v>91</v>
      </c>
    </row>
    <row r="594" spans="1:20" hidden="1">
      <c r="A594" t="s">
        <v>29</v>
      </c>
      <c r="B594" s="1" t="s">
        <v>493</v>
      </c>
      <c r="C594" s="1" t="s">
        <v>69</v>
      </c>
      <c r="D594" s="1" t="s">
        <v>1333</v>
      </c>
      <c r="E594" s="1" t="s">
        <v>813</v>
      </c>
      <c r="F594" s="1" t="s">
        <v>814</v>
      </c>
      <c r="G594" s="1" t="s">
        <v>1334</v>
      </c>
      <c r="H594" s="1" t="s">
        <v>1335</v>
      </c>
      <c r="I594" s="1">
        <v>14</v>
      </c>
      <c r="J594" s="2">
        <v>17059.77</v>
      </c>
      <c r="K594" s="2">
        <v>17059.773680400001</v>
      </c>
      <c r="L594" s="2">
        <v>12146.64</v>
      </c>
      <c r="M594" s="2">
        <v>12146.64</v>
      </c>
      <c r="N594" s="1" t="s">
        <v>45</v>
      </c>
      <c r="O594" s="2">
        <v>1.404485</v>
      </c>
      <c r="P594" s="3">
        <f t="shared" si="18"/>
        <v>12146.64</v>
      </c>
      <c r="Q594" s="3" t="str">
        <f t="shared" si="19"/>
        <v>950002644912146.64</v>
      </c>
      <c r="R594" t="s">
        <v>74</v>
      </c>
      <c r="S594" t="s">
        <v>60</v>
      </c>
      <c r="T594" t="s">
        <v>102</v>
      </c>
    </row>
    <row r="595" spans="1:20" hidden="1">
      <c r="A595" t="s">
        <v>29</v>
      </c>
      <c r="B595" s="1" t="s">
        <v>664</v>
      </c>
      <c r="C595" s="1" t="s">
        <v>69</v>
      </c>
      <c r="D595" s="1" t="s">
        <v>1336</v>
      </c>
      <c r="E595" s="1" t="s">
        <v>682</v>
      </c>
      <c r="F595" s="1" t="s">
        <v>683</v>
      </c>
      <c r="G595" s="1" t="s">
        <v>684</v>
      </c>
      <c r="H595" s="1" t="s">
        <v>1335</v>
      </c>
      <c r="I595" s="1">
        <v>14</v>
      </c>
      <c r="J595" s="2">
        <v>2396.69</v>
      </c>
      <c r="K595" s="2">
        <v>2396.69</v>
      </c>
      <c r="L595" s="2">
        <v>2396.69</v>
      </c>
      <c r="M595" s="2">
        <v>2396.69</v>
      </c>
      <c r="N595" s="1" t="s">
        <v>36</v>
      </c>
      <c r="O595" s="2">
        <v>1</v>
      </c>
      <c r="P595" s="3">
        <f t="shared" si="18"/>
        <v>1797.5174999999999</v>
      </c>
      <c r="Q595" s="3" t="str">
        <f t="shared" si="19"/>
        <v>216952396.69</v>
      </c>
      <c r="R595" t="s">
        <v>758</v>
      </c>
      <c r="S595" t="s">
        <v>60</v>
      </c>
    </row>
    <row r="596" spans="1:20" hidden="1">
      <c r="A596" t="s">
        <v>29</v>
      </c>
      <c r="B596" s="1" t="s">
        <v>664</v>
      </c>
      <c r="C596" s="1" t="s">
        <v>69</v>
      </c>
      <c r="D596" s="1" t="s">
        <v>1337</v>
      </c>
      <c r="E596" s="1" t="s">
        <v>71</v>
      </c>
      <c r="F596" s="1" t="s">
        <v>72</v>
      </c>
      <c r="G596" s="1" t="s">
        <v>1239</v>
      </c>
      <c r="H596" s="1" t="s">
        <v>1335</v>
      </c>
      <c r="I596" s="1">
        <v>14</v>
      </c>
      <c r="J596" s="2">
        <v>1004561.27</v>
      </c>
      <c r="K596" s="2">
        <v>1004561.2720999999</v>
      </c>
      <c r="L596" s="2">
        <v>962592.25</v>
      </c>
      <c r="M596" s="2">
        <v>962592.25</v>
      </c>
      <c r="N596" s="1" t="s">
        <v>45</v>
      </c>
      <c r="O596" s="2">
        <v>1.0436000000000001</v>
      </c>
      <c r="P596" s="3">
        <f t="shared" si="18"/>
        <v>962592.25</v>
      </c>
      <c r="Q596" s="3" t="str">
        <f t="shared" si="19"/>
        <v>91909210962592.25</v>
      </c>
      <c r="R596" t="s">
        <v>74</v>
      </c>
      <c r="S596" t="s">
        <v>60</v>
      </c>
      <c r="T596" t="s">
        <v>102</v>
      </c>
    </row>
    <row r="597" spans="1:20" hidden="1">
      <c r="A597" t="s">
        <v>29</v>
      </c>
      <c r="B597" s="1" t="s">
        <v>664</v>
      </c>
      <c r="C597" s="1" t="s">
        <v>69</v>
      </c>
      <c r="D597" s="1" t="s">
        <v>1338</v>
      </c>
      <c r="E597" s="1" t="s">
        <v>334</v>
      </c>
      <c r="F597" s="1" t="s">
        <v>335</v>
      </c>
      <c r="G597" s="1" t="s">
        <v>1339</v>
      </c>
      <c r="H597" s="1" t="s">
        <v>1335</v>
      </c>
      <c r="I597" s="1">
        <v>14</v>
      </c>
      <c r="J597" s="2">
        <v>24545.47</v>
      </c>
      <c r="K597" s="2">
        <v>24545.472000000002</v>
      </c>
      <c r="L597" s="2">
        <v>23520</v>
      </c>
      <c r="M597" s="2">
        <v>23520</v>
      </c>
      <c r="N597" s="1" t="s">
        <v>45</v>
      </c>
      <c r="O597" s="2">
        <v>1.0436000000000001</v>
      </c>
      <c r="P597" s="3">
        <f t="shared" si="18"/>
        <v>23520</v>
      </c>
      <c r="Q597" s="3" t="str">
        <f t="shared" si="19"/>
        <v>190975984723520</v>
      </c>
      <c r="R597" t="s">
        <v>91</v>
      </c>
    </row>
    <row r="598" spans="1:20" hidden="1">
      <c r="A598" t="s">
        <v>29</v>
      </c>
      <c r="B598" s="1" t="s">
        <v>664</v>
      </c>
      <c r="C598" s="1" t="s">
        <v>69</v>
      </c>
      <c r="D598" s="1" t="s">
        <v>1340</v>
      </c>
      <c r="E598" s="1" t="s">
        <v>303</v>
      </c>
      <c r="F598" s="1" t="s">
        <v>304</v>
      </c>
      <c r="G598" s="1" t="s">
        <v>674</v>
      </c>
      <c r="H598" s="1" t="s">
        <v>1335</v>
      </c>
      <c r="I598" s="1">
        <v>14</v>
      </c>
      <c r="J598" s="2">
        <v>9379</v>
      </c>
      <c r="K598" s="2">
        <v>9379</v>
      </c>
      <c r="L598" s="2">
        <v>9379</v>
      </c>
      <c r="M598" s="2">
        <v>9379</v>
      </c>
      <c r="N598" s="1" t="s">
        <v>36</v>
      </c>
      <c r="O598" s="2">
        <v>1</v>
      </c>
      <c r="P598" s="3">
        <f t="shared" si="18"/>
        <v>7034.25</v>
      </c>
      <c r="Q598" s="3" t="str">
        <f t="shared" si="19"/>
        <v>912610159379</v>
      </c>
      <c r="R598" t="s">
        <v>306</v>
      </c>
      <c r="S598" t="s">
        <v>60</v>
      </c>
    </row>
    <row r="599" spans="1:20" hidden="1">
      <c r="A599" t="s">
        <v>29</v>
      </c>
      <c r="B599" s="1" t="s">
        <v>664</v>
      </c>
      <c r="C599" s="1" t="s">
        <v>69</v>
      </c>
      <c r="D599" s="1" t="s">
        <v>1341</v>
      </c>
      <c r="E599" s="1" t="s">
        <v>334</v>
      </c>
      <c r="F599" s="1" t="s">
        <v>335</v>
      </c>
      <c r="G599" s="1" t="s">
        <v>1306</v>
      </c>
      <c r="H599" s="1" t="s">
        <v>1335</v>
      </c>
      <c r="I599" s="1">
        <v>14</v>
      </c>
      <c r="J599" s="2">
        <v>2430.1</v>
      </c>
      <c r="K599" s="2">
        <v>2430.095652</v>
      </c>
      <c r="L599" s="2">
        <v>2328.5700000000002</v>
      </c>
      <c r="M599" s="2">
        <v>2328.5700000000002</v>
      </c>
      <c r="N599" s="1" t="s">
        <v>45</v>
      </c>
      <c r="O599" s="2">
        <v>1.0436000000000001</v>
      </c>
      <c r="P599" s="3">
        <f t="shared" si="18"/>
        <v>2328.5700000000002</v>
      </c>
      <c r="Q599" s="3" t="str">
        <f t="shared" si="19"/>
        <v>29084669842328.57</v>
      </c>
      <c r="R599" t="s">
        <v>91</v>
      </c>
    </row>
    <row r="600" spans="1:20" hidden="1">
      <c r="A600" t="s">
        <v>29</v>
      </c>
      <c r="B600" s="1" t="s">
        <v>664</v>
      </c>
      <c r="C600" s="1" t="s">
        <v>69</v>
      </c>
      <c r="D600" s="1" t="s">
        <v>1342</v>
      </c>
      <c r="E600" s="1" t="s">
        <v>334</v>
      </c>
      <c r="F600" s="1" t="s">
        <v>335</v>
      </c>
      <c r="G600" s="1" t="s">
        <v>1343</v>
      </c>
      <c r="H600" s="1" t="s">
        <v>1335</v>
      </c>
      <c r="I600" s="1">
        <v>14</v>
      </c>
      <c r="J600" s="2">
        <v>43.71</v>
      </c>
      <c r="K600" s="2">
        <v>43.705967999999999</v>
      </c>
      <c r="L600" s="2">
        <v>41.88</v>
      </c>
      <c r="M600" s="2">
        <v>41.88</v>
      </c>
      <c r="N600" s="1" t="s">
        <v>45</v>
      </c>
      <c r="O600" s="2">
        <v>1.0436000000000001</v>
      </c>
      <c r="P600" s="3">
        <f t="shared" si="18"/>
        <v>41.88</v>
      </c>
      <c r="Q600" s="3" t="str">
        <f t="shared" si="19"/>
        <v>290846784541.88</v>
      </c>
      <c r="R600" t="s">
        <v>91</v>
      </c>
    </row>
    <row r="601" spans="1:20" hidden="1">
      <c r="A601" t="s">
        <v>29</v>
      </c>
      <c r="B601" s="1" t="s">
        <v>995</v>
      </c>
      <c r="C601" s="1" t="s">
        <v>69</v>
      </c>
      <c r="D601" s="1" t="s">
        <v>1344</v>
      </c>
      <c r="E601" s="1" t="s">
        <v>156</v>
      </c>
      <c r="F601" s="1" t="s">
        <v>156</v>
      </c>
      <c r="G601" s="1" t="s">
        <v>865</v>
      </c>
      <c r="H601" s="1" t="s">
        <v>1335</v>
      </c>
      <c r="I601" s="1">
        <v>14</v>
      </c>
      <c r="J601" s="2">
        <v>6052.36</v>
      </c>
      <c r="K601" s="2">
        <v>6052.36</v>
      </c>
      <c r="L601" s="2">
        <v>6052.36</v>
      </c>
      <c r="M601" s="2">
        <v>6052.36</v>
      </c>
      <c r="N601" s="1" t="s">
        <v>36</v>
      </c>
      <c r="O601" s="2">
        <v>1</v>
      </c>
      <c r="P601" s="3">
        <f t="shared" si="18"/>
        <v>4539.2699999999995</v>
      </c>
      <c r="Q601" s="3" t="str">
        <f t="shared" si="19"/>
        <v>2-703-416176052.36</v>
      </c>
    </row>
    <row r="602" spans="1:20" hidden="1">
      <c r="A602" t="s">
        <v>29</v>
      </c>
      <c r="B602" s="1" t="s">
        <v>995</v>
      </c>
      <c r="C602" s="1" t="s">
        <v>69</v>
      </c>
      <c r="D602" s="1" t="s">
        <v>1345</v>
      </c>
      <c r="E602" s="1" t="s">
        <v>156</v>
      </c>
      <c r="F602" s="1" t="s">
        <v>156</v>
      </c>
      <c r="G602" s="1" t="s">
        <v>865</v>
      </c>
      <c r="H602" s="1" t="s">
        <v>1335</v>
      </c>
      <c r="I602" s="1">
        <v>14</v>
      </c>
      <c r="J602" s="2">
        <v>3756.98</v>
      </c>
      <c r="K602" s="2">
        <v>3756.98</v>
      </c>
      <c r="L602" s="2">
        <v>3756.98</v>
      </c>
      <c r="M602" s="2">
        <v>3756.98</v>
      </c>
      <c r="N602" s="1" t="s">
        <v>36</v>
      </c>
      <c r="O602" s="2">
        <v>1</v>
      </c>
      <c r="P602" s="3">
        <f t="shared" si="18"/>
        <v>2817.7350000000001</v>
      </c>
      <c r="Q602" s="3" t="str">
        <f t="shared" si="19"/>
        <v>2-703-613923756.98</v>
      </c>
    </row>
    <row r="603" spans="1:20" hidden="1">
      <c r="A603" t="s">
        <v>29</v>
      </c>
      <c r="B603" s="1" t="s">
        <v>1335</v>
      </c>
      <c r="C603" s="1" t="s">
        <v>69</v>
      </c>
      <c r="D603" s="1" t="s">
        <v>1346</v>
      </c>
      <c r="E603" s="1" t="s">
        <v>570</v>
      </c>
      <c r="F603" s="1"/>
      <c r="G603" s="1" t="s">
        <v>1347</v>
      </c>
      <c r="H603" s="1" t="s">
        <v>1335</v>
      </c>
      <c r="I603" s="1">
        <v>14</v>
      </c>
      <c r="J603" s="2">
        <v>6226.3</v>
      </c>
      <c r="K603" s="2">
        <v>6226.3</v>
      </c>
      <c r="L603" s="2">
        <v>6226.3</v>
      </c>
      <c r="M603" s="2">
        <v>6226.3</v>
      </c>
      <c r="N603" s="1" t="s">
        <v>36</v>
      </c>
      <c r="O603" s="2">
        <v>1</v>
      </c>
      <c r="P603" s="3">
        <f t="shared" si="18"/>
        <v>4669.7250000000004</v>
      </c>
      <c r="Q603" s="3" t="str">
        <f t="shared" si="19"/>
        <v>22233916226.3</v>
      </c>
    </row>
    <row r="604" spans="1:20" hidden="1">
      <c r="A604" t="s">
        <v>29</v>
      </c>
      <c r="B604" s="1" t="s">
        <v>687</v>
      </c>
      <c r="C604" s="1" t="s">
        <v>69</v>
      </c>
      <c r="D604" s="1" t="s">
        <v>1348</v>
      </c>
      <c r="E604" s="1" t="s">
        <v>239</v>
      </c>
      <c r="F604" s="1" t="s">
        <v>240</v>
      </c>
      <c r="G604" s="1" t="s">
        <v>1349</v>
      </c>
      <c r="H604" s="1" t="s">
        <v>1350</v>
      </c>
      <c r="I604" s="1">
        <v>13</v>
      </c>
      <c r="J604" s="2">
        <v>15616.45</v>
      </c>
      <c r="K604" s="2">
        <v>15616.447700000001</v>
      </c>
      <c r="L604" s="2">
        <v>11156</v>
      </c>
      <c r="M604" s="2">
        <v>11156</v>
      </c>
      <c r="N604" s="1" t="s">
        <v>45</v>
      </c>
      <c r="O604" s="2">
        <v>1.3998250000000001</v>
      </c>
      <c r="P604" s="3">
        <f t="shared" si="18"/>
        <v>11156</v>
      </c>
      <c r="Q604" s="3" t="str">
        <f t="shared" si="19"/>
        <v>911686718511156</v>
      </c>
      <c r="R604" t="s">
        <v>59</v>
      </c>
      <c r="S604" t="s">
        <v>60</v>
      </c>
      <c r="T604" t="s">
        <v>102</v>
      </c>
    </row>
    <row r="605" spans="1:20" hidden="1">
      <c r="A605" t="s">
        <v>29</v>
      </c>
      <c r="B605" s="1" t="s">
        <v>687</v>
      </c>
      <c r="C605" s="1" t="s">
        <v>69</v>
      </c>
      <c r="D605" s="1" t="s">
        <v>1351</v>
      </c>
      <c r="E605" s="1" t="s">
        <v>334</v>
      </c>
      <c r="F605" s="1" t="s">
        <v>335</v>
      </c>
      <c r="G605" s="1" t="s">
        <v>1118</v>
      </c>
      <c r="H605" s="1" t="s">
        <v>1350</v>
      </c>
      <c r="I605" s="1">
        <v>13</v>
      </c>
      <c r="J605" s="2">
        <v>711.13</v>
      </c>
      <c r="K605" s="2">
        <v>711.12509824999995</v>
      </c>
      <c r="L605" s="2">
        <v>508.01</v>
      </c>
      <c r="M605" s="2">
        <v>508.01</v>
      </c>
      <c r="N605" s="1" t="s">
        <v>45</v>
      </c>
      <c r="O605" s="2">
        <v>1.3998250000000001</v>
      </c>
      <c r="P605" s="3">
        <f t="shared" si="18"/>
        <v>508.01</v>
      </c>
      <c r="Q605" s="3" t="str">
        <f t="shared" si="19"/>
        <v>2908469134508.01</v>
      </c>
      <c r="R605" t="s">
        <v>91</v>
      </c>
    </row>
    <row r="606" spans="1:20" hidden="1">
      <c r="A606" t="s">
        <v>29</v>
      </c>
      <c r="B606" s="1" t="s">
        <v>687</v>
      </c>
      <c r="C606" s="1" t="s">
        <v>69</v>
      </c>
      <c r="D606" s="1" t="s">
        <v>1352</v>
      </c>
      <c r="E606" s="1" t="s">
        <v>334</v>
      </c>
      <c r="F606" s="1" t="s">
        <v>335</v>
      </c>
      <c r="G606" s="1" t="s">
        <v>881</v>
      </c>
      <c r="H606" s="1" t="s">
        <v>1350</v>
      </c>
      <c r="I606" s="1">
        <v>13</v>
      </c>
      <c r="J606" s="2">
        <v>3534.29</v>
      </c>
      <c r="K606" s="2">
        <v>3534.2921582499998</v>
      </c>
      <c r="L606" s="2">
        <v>2524.81</v>
      </c>
      <c r="M606" s="2">
        <v>2524.81</v>
      </c>
      <c r="N606" s="1" t="s">
        <v>45</v>
      </c>
      <c r="O606" s="2">
        <v>1.3998250000000001</v>
      </c>
      <c r="P606" s="3">
        <f t="shared" si="18"/>
        <v>2524.81</v>
      </c>
      <c r="Q606" s="3" t="str">
        <f t="shared" si="19"/>
        <v>29084694622524.81</v>
      </c>
      <c r="R606" t="s">
        <v>91</v>
      </c>
    </row>
    <row r="607" spans="1:20" hidden="1">
      <c r="A607" t="s">
        <v>29</v>
      </c>
      <c r="B607" s="1" t="s">
        <v>687</v>
      </c>
      <c r="C607" s="1" t="s">
        <v>69</v>
      </c>
      <c r="D607" s="1" t="s">
        <v>1353</v>
      </c>
      <c r="E607" s="1" t="s">
        <v>334</v>
      </c>
      <c r="F607" s="1" t="s">
        <v>335</v>
      </c>
      <c r="G607" s="1" t="s">
        <v>881</v>
      </c>
      <c r="H607" s="1" t="s">
        <v>1350</v>
      </c>
      <c r="I607" s="1">
        <v>13</v>
      </c>
      <c r="J607" s="2">
        <v>9282.24</v>
      </c>
      <c r="K607" s="2">
        <v>9282.2395749999996</v>
      </c>
      <c r="L607" s="2">
        <v>6631</v>
      </c>
      <c r="M607" s="2">
        <v>6631</v>
      </c>
      <c r="N607" s="1" t="s">
        <v>45</v>
      </c>
      <c r="O607" s="2">
        <v>1.3998250000000001</v>
      </c>
      <c r="P607" s="3">
        <f t="shared" si="18"/>
        <v>6631</v>
      </c>
      <c r="Q607" s="3" t="str">
        <f t="shared" si="19"/>
        <v>29084699326631</v>
      </c>
      <c r="R607" t="s">
        <v>91</v>
      </c>
    </row>
    <row r="608" spans="1:20" hidden="1">
      <c r="A608" t="s">
        <v>29</v>
      </c>
      <c r="B608" s="1" t="s">
        <v>687</v>
      </c>
      <c r="C608" s="1" t="s">
        <v>69</v>
      </c>
      <c r="D608" s="1" t="s">
        <v>1354</v>
      </c>
      <c r="E608" s="1" t="s">
        <v>334</v>
      </c>
      <c r="F608" s="1" t="s">
        <v>335</v>
      </c>
      <c r="G608" s="1" t="s">
        <v>1114</v>
      </c>
      <c r="H608" s="1" t="s">
        <v>1350</v>
      </c>
      <c r="I608" s="1">
        <v>13</v>
      </c>
      <c r="J608" s="2">
        <v>314.23</v>
      </c>
      <c r="K608" s="2">
        <v>314.23271599999998</v>
      </c>
      <c r="L608" s="2">
        <v>224.48</v>
      </c>
      <c r="M608" s="2">
        <v>224.48</v>
      </c>
      <c r="N608" s="1" t="s">
        <v>45</v>
      </c>
      <c r="O608" s="2">
        <v>1.3998250000000001</v>
      </c>
      <c r="P608" s="3">
        <f t="shared" si="18"/>
        <v>224.48</v>
      </c>
      <c r="Q608" s="3" t="str">
        <f t="shared" si="19"/>
        <v>2908470238224.48</v>
      </c>
      <c r="R608" t="s">
        <v>91</v>
      </c>
    </row>
    <row r="609" spans="1:28" hidden="1">
      <c r="A609" t="s">
        <v>29</v>
      </c>
      <c r="B609" s="1" t="s">
        <v>687</v>
      </c>
      <c r="C609" s="1" t="s">
        <v>69</v>
      </c>
      <c r="D609" s="1" t="s">
        <v>1355</v>
      </c>
      <c r="E609" s="1" t="s">
        <v>334</v>
      </c>
      <c r="F609" s="1" t="s">
        <v>335</v>
      </c>
      <c r="G609" s="1" t="s">
        <v>1356</v>
      </c>
      <c r="H609" s="1" t="s">
        <v>1350</v>
      </c>
      <c r="I609" s="1">
        <v>13</v>
      </c>
      <c r="J609" s="2">
        <v>500.56</v>
      </c>
      <c r="K609" s="2">
        <v>500.56342174999997</v>
      </c>
      <c r="L609" s="2">
        <v>357.59</v>
      </c>
      <c r="M609" s="2">
        <v>357.59</v>
      </c>
      <c r="N609" s="1" t="s">
        <v>45</v>
      </c>
      <c r="O609" s="2">
        <v>1.3998250000000001</v>
      </c>
      <c r="P609" s="3">
        <f t="shared" si="18"/>
        <v>357.59</v>
      </c>
      <c r="Q609" s="3" t="str">
        <f t="shared" si="19"/>
        <v>2908470620357.59</v>
      </c>
      <c r="R609" t="s">
        <v>91</v>
      </c>
    </row>
    <row r="610" spans="1:28" hidden="1">
      <c r="A610" t="s">
        <v>29</v>
      </c>
      <c r="B610" s="1" t="s">
        <v>687</v>
      </c>
      <c r="C610" s="1" t="s">
        <v>69</v>
      </c>
      <c r="D610" s="1" t="s">
        <v>1357</v>
      </c>
      <c r="E610" s="1" t="s">
        <v>334</v>
      </c>
      <c r="F610" s="1" t="s">
        <v>335</v>
      </c>
      <c r="G610" s="1" t="s">
        <v>1118</v>
      </c>
      <c r="H610" s="1" t="s">
        <v>1350</v>
      </c>
      <c r="I610" s="1">
        <v>13</v>
      </c>
      <c r="J610" s="2">
        <v>324.02999999999997</v>
      </c>
      <c r="K610" s="2">
        <v>324.03149100000002</v>
      </c>
      <c r="L610" s="2">
        <v>231.48</v>
      </c>
      <c r="M610" s="2">
        <v>231.48</v>
      </c>
      <c r="N610" s="1" t="s">
        <v>45</v>
      </c>
      <c r="O610" s="2">
        <v>1.3998250000000001</v>
      </c>
      <c r="P610" s="3">
        <f t="shared" si="18"/>
        <v>231.48</v>
      </c>
      <c r="Q610" s="3" t="str">
        <f t="shared" si="19"/>
        <v>2908470622231.48</v>
      </c>
      <c r="R610" t="s">
        <v>91</v>
      </c>
    </row>
    <row r="611" spans="1:28" hidden="1">
      <c r="A611" t="s">
        <v>29</v>
      </c>
      <c r="B611" s="1" t="s">
        <v>687</v>
      </c>
      <c r="C611" s="1" t="s">
        <v>69</v>
      </c>
      <c r="D611" s="1" t="s">
        <v>1358</v>
      </c>
      <c r="E611" s="1" t="s">
        <v>691</v>
      </c>
      <c r="F611" s="1" t="s">
        <v>692</v>
      </c>
      <c r="G611" s="1" t="s">
        <v>695</v>
      </c>
      <c r="H611" s="1" t="s">
        <v>1350</v>
      </c>
      <c r="I611" s="1">
        <v>13</v>
      </c>
      <c r="J611" s="2">
        <v>1921</v>
      </c>
      <c r="K611" s="2">
        <v>1921</v>
      </c>
      <c r="L611" s="2">
        <v>1921</v>
      </c>
      <c r="M611" s="2">
        <v>1921</v>
      </c>
      <c r="N611" s="1" t="s">
        <v>36</v>
      </c>
      <c r="O611" s="2">
        <v>1</v>
      </c>
      <c r="P611" s="3">
        <f t="shared" si="18"/>
        <v>1440.75</v>
      </c>
      <c r="Q611" s="3" t="str">
        <f t="shared" si="19"/>
        <v>932942661921</v>
      </c>
      <c r="R611" t="s">
        <v>37</v>
      </c>
      <c r="S611" t="s">
        <v>60</v>
      </c>
      <c r="T611" t="s">
        <v>102</v>
      </c>
    </row>
    <row r="612" spans="1:28" hidden="1">
      <c r="A612" t="s">
        <v>29</v>
      </c>
      <c r="B612" s="1" t="s">
        <v>687</v>
      </c>
      <c r="C612" s="1" t="s">
        <v>69</v>
      </c>
      <c r="D612" s="1" t="s">
        <v>1359</v>
      </c>
      <c r="E612" s="1" t="s">
        <v>691</v>
      </c>
      <c r="F612" s="1" t="s">
        <v>692</v>
      </c>
      <c r="G612" s="1" t="s">
        <v>1360</v>
      </c>
      <c r="H612" s="1" t="s">
        <v>1350</v>
      </c>
      <c r="I612" s="1">
        <v>13</v>
      </c>
      <c r="J612" s="2">
        <v>496015.87</v>
      </c>
      <c r="K612" s="2">
        <v>496015.87</v>
      </c>
      <c r="L612" s="2">
        <v>496015.87</v>
      </c>
      <c r="M612" s="2">
        <v>496015.87</v>
      </c>
      <c r="N612" s="1" t="s">
        <v>36</v>
      </c>
      <c r="O612" s="2">
        <v>1</v>
      </c>
      <c r="P612" s="3">
        <f t="shared" si="18"/>
        <v>372011.90249999997</v>
      </c>
      <c r="Q612" s="3" t="str">
        <f t="shared" si="19"/>
        <v>93294265496015.87</v>
      </c>
      <c r="R612" t="s">
        <v>37</v>
      </c>
    </row>
    <row r="613" spans="1:28" hidden="1">
      <c r="A613" t="s">
        <v>29</v>
      </c>
      <c r="B613" s="1" t="s">
        <v>687</v>
      </c>
      <c r="C613" s="1" t="s">
        <v>69</v>
      </c>
      <c r="D613" s="1" t="s">
        <v>1361</v>
      </c>
      <c r="E613" s="1" t="s">
        <v>275</v>
      </c>
      <c r="F613" s="1"/>
      <c r="G613" s="1" t="s">
        <v>1362</v>
      </c>
      <c r="H613" s="1" t="s">
        <v>1350</v>
      </c>
      <c r="I613" s="1">
        <v>13</v>
      </c>
      <c r="J613" s="2">
        <v>2921.7</v>
      </c>
      <c r="K613" s="2">
        <v>2921.7</v>
      </c>
      <c r="L613" s="2">
        <v>2921.7</v>
      </c>
      <c r="M613" s="2">
        <v>2921.7</v>
      </c>
      <c r="N613" s="1" t="s">
        <v>36</v>
      </c>
      <c r="O613" s="2">
        <v>1</v>
      </c>
      <c r="P613" s="3">
        <f t="shared" si="18"/>
        <v>2191.2749999999996</v>
      </c>
      <c r="Q613" s="3" t="str">
        <f t="shared" si="19"/>
        <v>10188064392921.7</v>
      </c>
    </row>
    <row r="614" spans="1:28" hidden="1">
      <c r="A614" t="s">
        <v>29</v>
      </c>
      <c r="B614" s="1" t="s">
        <v>1006</v>
      </c>
      <c r="C614" s="1" t="s">
        <v>69</v>
      </c>
      <c r="D614" s="1" t="s">
        <v>1363</v>
      </c>
      <c r="E614" s="1" t="s">
        <v>156</v>
      </c>
      <c r="F614" s="1" t="s">
        <v>156</v>
      </c>
      <c r="G614" s="1" t="s">
        <v>865</v>
      </c>
      <c r="H614" s="1" t="s">
        <v>1350</v>
      </c>
      <c r="I614" s="1">
        <v>13</v>
      </c>
      <c r="J614" s="2">
        <v>120384.05</v>
      </c>
      <c r="K614" s="2">
        <v>120384.05</v>
      </c>
      <c r="L614" s="2">
        <v>120384.05</v>
      </c>
      <c r="M614" s="2">
        <v>120384.05</v>
      </c>
      <c r="N614" s="1" t="s">
        <v>36</v>
      </c>
      <c r="O614" s="2">
        <v>1</v>
      </c>
      <c r="P614" s="3">
        <f t="shared" si="18"/>
        <v>90288.037500000006</v>
      </c>
      <c r="Q614" s="3" t="str">
        <f t="shared" si="19"/>
        <v>2-703-90094120384.05</v>
      </c>
    </row>
    <row r="615" spans="1:28" hidden="1">
      <c r="A615" t="s">
        <v>29</v>
      </c>
      <c r="B615" s="1" t="s">
        <v>1350</v>
      </c>
      <c r="C615" s="1" t="s">
        <v>69</v>
      </c>
      <c r="D615" s="1" t="s">
        <v>1364</v>
      </c>
      <c r="E615" s="1" t="s">
        <v>1365</v>
      </c>
      <c r="F615" s="1" t="s">
        <v>1366</v>
      </c>
      <c r="G615" s="1" t="s">
        <v>1367</v>
      </c>
      <c r="H615" s="1" t="s">
        <v>1350</v>
      </c>
      <c r="I615" s="1">
        <v>13</v>
      </c>
      <c r="J615" s="2">
        <v>161.66</v>
      </c>
      <c r="K615" s="2">
        <v>161.65799676</v>
      </c>
      <c r="L615" s="2">
        <v>117.78</v>
      </c>
      <c r="M615" s="2">
        <v>117.78</v>
      </c>
      <c r="N615" s="1" t="s">
        <v>45</v>
      </c>
      <c r="O615" s="2">
        <v>1.3725419999999999</v>
      </c>
      <c r="P615" s="3">
        <f t="shared" si="18"/>
        <v>117.78</v>
      </c>
      <c r="Q615" s="3" t="str">
        <f t="shared" si="19"/>
        <v>16716117.78</v>
      </c>
      <c r="R615" t="s">
        <v>74</v>
      </c>
    </row>
    <row r="616" spans="1:28" hidden="1">
      <c r="A616" t="s">
        <v>29</v>
      </c>
      <c r="B616" s="1" t="s">
        <v>710</v>
      </c>
      <c r="C616" s="1" t="s">
        <v>69</v>
      </c>
      <c r="D616" s="1" t="s">
        <v>1368</v>
      </c>
      <c r="E616" s="1" t="s">
        <v>616</v>
      </c>
      <c r="F616" s="1" t="s">
        <v>222</v>
      </c>
      <c r="G616" s="1" t="s">
        <v>1064</v>
      </c>
      <c r="H616" s="1" t="s">
        <v>1369</v>
      </c>
      <c r="I616" s="1">
        <v>12</v>
      </c>
      <c r="J616" s="2">
        <v>2957.6</v>
      </c>
      <c r="K616" s="2">
        <v>2957.6</v>
      </c>
      <c r="L616" s="2">
        <v>2957.6</v>
      </c>
      <c r="M616" s="2">
        <v>2957.6</v>
      </c>
      <c r="N616" s="1" t="s">
        <v>36</v>
      </c>
      <c r="O616" s="2">
        <v>1</v>
      </c>
      <c r="P616" s="3">
        <f t="shared" si="18"/>
        <v>2218.1999999999998</v>
      </c>
      <c r="Q616" s="3" t="str">
        <f t="shared" si="19"/>
        <v>FGL00051112957.6</v>
      </c>
      <c r="R616" t="s">
        <v>758</v>
      </c>
      <c r="S616" t="s">
        <v>60</v>
      </c>
      <c r="AB616" t="s">
        <v>445</v>
      </c>
    </row>
    <row r="617" spans="1:28" hidden="1">
      <c r="A617" t="s">
        <v>29</v>
      </c>
      <c r="B617" s="1" t="s">
        <v>710</v>
      </c>
      <c r="C617" s="1" t="s">
        <v>69</v>
      </c>
      <c r="D617" s="1" t="s">
        <v>1370</v>
      </c>
      <c r="E617" s="1" t="s">
        <v>616</v>
      </c>
      <c r="F617" s="1" t="s">
        <v>222</v>
      </c>
      <c r="G617" s="1" t="s">
        <v>1064</v>
      </c>
      <c r="H617" s="1" t="s">
        <v>1369</v>
      </c>
      <c r="I617" s="1">
        <v>12</v>
      </c>
      <c r="J617" s="2">
        <v>4089.77</v>
      </c>
      <c r="K617" s="2">
        <v>4089.77</v>
      </c>
      <c r="L617" s="2">
        <v>4089.77</v>
      </c>
      <c r="M617" s="2">
        <v>4089.77</v>
      </c>
      <c r="N617" s="1" t="s">
        <v>36</v>
      </c>
      <c r="O617" s="2">
        <v>1</v>
      </c>
      <c r="P617" s="3">
        <f t="shared" si="18"/>
        <v>3067.3274999999999</v>
      </c>
      <c r="Q617" s="3" t="str">
        <f t="shared" si="19"/>
        <v>FGL00051144089.77</v>
      </c>
      <c r="R617" t="s">
        <v>758</v>
      </c>
      <c r="S617" t="s">
        <v>60</v>
      </c>
      <c r="AB617" t="s">
        <v>445</v>
      </c>
    </row>
    <row r="618" spans="1:28" hidden="1">
      <c r="A618" t="s">
        <v>29</v>
      </c>
      <c r="B618" s="1" t="s">
        <v>710</v>
      </c>
      <c r="C618" s="1" t="s">
        <v>69</v>
      </c>
      <c r="D618" s="1" t="s">
        <v>1371</v>
      </c>
      <c r="E618" s="1" t="s">
        <v>316</v>
      </c>
      <c r="F618" s="1" t="s">
        <v>316</v>
      </c>
      <c r="G618" s="1" t="s">
        <v>1372</v>
      </c>
      <c r="H618" s="1" t="s">
        <v>1369</v>
      </c>
      <c r="I618" s="1">
        <v>12</v>
      </c>
      <c r="J618" s="2">
        <v>769.46</v>
      </c>
      <c r="K618" s="2">
        <v>769.46</v>
      </c>
      <c r="L618" s="2">
        <v>769.46</v>
      </c>
      <c r="M618" s="2">
        <v>769.46</v>
      </c>
      <c r="N618" s="1" t="s">
        <v>36</v>
      </c>
      <c r="O618" s="2">
        <v>1</v>
      </c>
      <c r="P618" s="3">
        <f t="shared" si="18"/>
        <v>577.09500000000003</v>
      </c>
      <c r="Q618" s="3" t="str">
        <f t="shared" si="19"/>
        <v>00267627769.46</v>
      </c>
      <c r="AB618" t="s">
        <v>445</v>
      </c>
    </row>
    <row r="619" spans="1:28" hidden="1">
      <c r="A619" t="s">
        <v>29</v>
      </c>
      <c r="B619" s="1" t="s">
        <v>710</v>
      </c>
      <c r="C619" s="1" t="s">
        <v>69</v>
      </c>
      <c r="D619" s="1" t="s">
        <v>1373</v>
      </c>
      <c r="E619" s="1" t="s">
        <v>511</v>
      </c>
      <c r="F619" s="1" t="s">
        <v>512</v>
      </c>
      <c r="G619" s="1" t="s">
        <v>1374</v>
      </c>
      <c r="H619" s="1" t="s">
        <v>1369</v>
      </c>
      <c r="I619" s="1">
        <v>12</v>
      </c>
      <c r="J619" s="2">
        <v>8899.75</v>
      </c>
      <c r="K619" s="2">
        <v>8899.75</v>
      </c>
      <c r="L619" s="2">
        <v>8899.75</v>
      </c>
      <c r="M619" s="2">
        <v>8899.75</v>
      </c>
      <c r="N619" s="1" t="s">
        <v>36</v>
      </c>
      <c r="O619" s="2">
        <v>1</v>
      </c>
      <c r="P619" s="3">
        <f t="shared" si="18"/>
        <v>6674.8125</v>
      </c>
      <c r="Q619" s="3" t="str">
        <f t="shared" si="19"/>
        <v>AH14M2X8899.75</v>
      </c>
      <c r="R619" t="s">
        <v>37</v>
      </c>
      <c r="AB619" t="s">
        <v>445</v>
      </c>
    </row>
    <row r="620" spans="1:28" hidden="1">
      <c r="A620" t="s">
        <v>29</v>
      </c>
      <c r="B620" s="1" t="s">
        <v>710</v>
      </c>
      <c r="C620" s="1" t="s">
        <v>69</v>
      </c>
      <c r="D620" s="1" t="s">
        <v>1375</v>
      </c>
      <c r="E620" s="1" t="s">
        <v>334</v>
      </c>
      <c r="F620" s="1" t="s">
        <v>335</v>
      </c>
      <c r="G620" s="1" t="s">
        <v>1376</v>
      </c>
      <c r="H620" s="1" t="s">
        <v>1369</v>
      </c>
      <c r="I620" s="1">
        <v>12</v>
      </c>
      <c r="J620" s="2">
        <v>25456.43</v>
      </c>
      <c r="K620" s="2">
        <v>25456.431312000001</v>
      </c>
      <c r="L620" s="2">
        <v>18224</v>
      </c>
      <c r="M620" s="2">
        <v>18224</v>
      </c>
      <c r="N620" s="1" t="s">
        <v>45</v>
      </c>
      <c r="O620" s="2">
        <v>1.396863</v>
      </c>
      <c r="P620" s="3">
        <f t="shared" si="18"/>
        <v>18224</v>
      </c>
      <c r="Q620" s="3" t="str">
        <f t="shared" si="19"/>
        <v>190976092318224</v>
      </c>
      <c r="R620" t="s">
        <v>91</v>
      </c>
      <c r="AB620" t="s">
        <v>445</v>
      </c>
    </row>
    <row r="621" spans="1:28" hidden="1">
      <c r="A621" t="s">
        <v>29</v>
      </c>
      <c r="B621" s="1" t="s">
        <v>710</v>
      </c>
      <c r="C621" s="1" t="s">
        <v>69</v>
      </c>
      <c r="D621" s="1" t="s">
        <v>1377</v>
      </c>
      <c r="E621" s="1" t="s">
        <v>334</v>
      </c>
      <c r="F621" s="1" t="s">
        <v>335</v>
      </c>
      <c r="G621" s="1" t="s">
        <v>1376</v>
      </c>
      <c r="H621" s="1" t="s">
        <v>1369</v>
      </c>
      <c r="I621" s="1">
        <v>12</v>
      </c>
      <c r="J621" s="2">
        <v>71698.179999999993</v>
      </c>
      <c r="K621" s="2">
        <v>71698.184064000001</v>
      </c>
      <c r="L621" s="2">
        <v>51328</v>
      </c>
      <c r="M621" s="2">
        <v>51328</v>
      </c>
      <c r="N621" s="1" t="s">
        <v>45</v>
      </c>
      <c r="O621" s="2">
        <v>1.396863</v>
      </c>
      <c r="P621" s="3">
        <f t="shared" si="18"/>
        <v>51328</v>
      </c>
      <c r="Q621" s="3" t="str">
        <f t="shared" si="19"/>
        <v>190976219751328</v>
      </c>
      <c r="R621" t="s">
        <v>91</v>
      </c>
      <c r="AB621" t="s">
        <v>445</v>
      </c>
    </row>
    <row r="622" spans="1:28" hidden="1">
      <c r="A622" t="s">
        <v>29</v>
      </c>
      <c r="B622" s="1" t="s">
        <v>710</v>
      </c>
      <c r="C622" s="1" t="s">
        <v>69</v>
      </c>
      <c r="D622" s="1" t="s">
        <v>1378</v>
      </c>
      <c r="E622" s="1" t="s">
        <v>334</v>
      </c>
      <c r="F622" s="1" t="s">
        <v>335</v>
      </c>
      <c r="G622" s="1" t="s">
        <v>772</v>
      </c>
      <c r="H622" s="1" t="s">
        <v>1369</v>
      </c>
      <c r="I622" s="1">
        <v>12</v>
      </c>
      <c r="J622" s="2">
        <v>2511.9299999999998</v>
      </c>
      <c r="K622" s="2">
        <v>2511.9312</v>
      </c>
      <c r="L622" s="2">
        <v>1795.84</v>
      </c>
      <c r="M622" s="2">
        <v>1795.84</v>
      </c>
      <c r="N622" s="1" t="s">
        <v>45</v>
      </c>
      <c r="O622" s="2">
        <v>1.3987499999999999</v>
      </c>
      <c r="P622" s="3">
        <f t="shared" si="18"/>
        <v>1795.84</v>
      </c>
      <c r="Q622" s="3" t="str">
        <f t="shared" si="19"/>
        <v>29084687881795.84</v>
      </c>
      <c r="R622" t="s">
        <v>91</v>
      </c>
      <c r="AB622" t="s">
        <v>445</v>
      </c>
    </row>
    <row r="623" spans="1:28" hidden="1">
      <c r="A623" t="s">
        <v>29</v>
      </c>
      <c r="B623" s="1" t="s">
        <v>710</v>
      </c>
      <c r="C623" s="1" t="s">
        <v>69</v>
      </c>
      <c r="D623" s="1" t="s">
        <v>1379</v>
      </c>
      <c r="E623" s="1" t="s">
        <v>334</v>
      </c>
      <c r="F623" s="1" t="s">
        <v>335</v>
      </c>
      <c r="G623" s="1" t="s">
        <v>1343</v>
      </c>
      <c r="H623" s="1" t="s">
        <v>1369</v>
      </c>
      <c r="I623" s="1">
        <v>12</v>
      </c>
      <c r="J623" s="2">
        <v>66.760000000000005</v>
      </c>
      <c r="K623" s="2">
        <v>66.762337500000001</v>
      </c>
      <c r="L623" s="2">
        <v>47.73</v>
      </c>
      <c r="M623" s="2">
        <v>47.73</v>
      </c>
      <c r="N623" s="1" t="s">
        <v>45</v>
      </c>
      <c r="O623" s="2">
        <v>1.3987499999999999</v>
      </c>
      <c r="P623" s="3">
        <f t="shared" si="18"/>
        <v>47.73</v>
      </c>
      <c r="Q623" s="3" t="str">
        <f t="shared" si="19"/>
        <v>290847135847.73</v>
      </c>
      <c r="R623" t="s">
        <v>91</v>
      </c>
      <c r="AB623" t="s">
        <v>445</v>
      </c>
    </row>
    <row r="624" spans="1:28" hidden="1">
      <c r="A624" t="s">
        <v>29</v>
      </c>
      <c r="B624" s="1" t="s">
        <v>710</v>
      </c>
      <c r="C624" s="1" t="s">
        <v>69</v>
      </c>
      <c r="D624" s="1" t="s">
        <v>1380</v>
      </c>
      <c r="E624" s="1" t="s">
        <v>334</v>
      </c>
      <c r="F624" s="1" t="s">
        <v>335</v>
      </c>
      <c r="G624" s="1" t="s">
        <v>1228</v>
      </c>
      <c r="H624" s="1" t="s">
        <v>1369</v>
      </c>
      <c r="I624" s="1">
        <v>12</v>
      </c>
      <c r="J624" s="2">
        <v>146.96</v>
      </c>
      <c r="K624" s="2">
        <v>146.96395623000001</v>
      </c>
      <c r="L624" s="2">
        <v>105.21</v>
      </c>
      <c r="M624" s="2">
        <v>105.21</v>
      </c>
      <c r="N624" s="1" t="s">
        <v>45</v>
      </c>
      <c r="O624" s="2">
        <v>1.396863</v>
      </c>
      <c r="P624" s="3">
        <f t="shared" si="18"/>
        <v>105.21</v>
      </c>
      <c r="Q624" s="3" t="str">
        <f t="shared" si="19"/>
        <v>2908471774105.21</v>
      </c>
      <c r="R624" t="s">
        <v>91</v>
      </c>
      <c r="AB624" t="s">
        <v>445</v>
      </c>
    </row>
    <row r="625" spans="1:28" hidden="1">
      <c r="A625" t="s">
        <v>29</v>
      </c>
      <c r="B625" s="1" t="s">
        <v>710</v>
      </c>
      <c r="C625" s="1" t="s">
        <v>69</v>
      </c>
      <c r="D625" s="1" t="s">
        <v>1381</v>
      </c>
      <c r="E625" s="1" t="s">
        <v>334</v>
      </c>
      <c r="F625" s="1" t="s">
        <v>335</v>
      </c>
      <c r="G625" s="1" t="s">
        <v>1230</v>
      </c>
      <c r="H625" s="1" t="s">
        <v>1369</v>
      </c>
      <c r="I625" s="1">
        <v>12</v>
      </c>
      <c r="J625" s="2">
        <v>1129.67</v>
      </c>
      <c r="K625" s="2">
        <v>1129.6710453600001</v>
      </c>
      <c r="L625" s="2">
        <v>808.72</v>
      </c>
      <c r="M625" s="2">
        <v>808.72</v>
      </c>
      <c r="N625" s="1" t="s">
        <v>45</v>
      </c>
      <c r="O625" s="2">
        <v>1.396863</v>
      </c>
      <c r="P625" s="3">
        <f t="shared" si="18"/>
        <v>808.72</v>
      </c>
      <c r="Q625" s="3" t="str">
        <f t="shared" si="19"/>
        <v>2908471775808.72</v>
      </c>
      <c r="R625" t="s">
        <v>91</v>
      </c>
      <c r="AB625" t="s">
        <v>445</v>
      </c>
    </row>
    <row r="626" spans="1:28" hidden="1">
      <c r="A626" t="s">
        <v>29</v>
      </c>
      <c r="B626" s="1" t="s">
        <v>710</v>
      </c>
      <c r="C626" s="1" t="s">
        <v>69</v>
      </c>
      <c r="D626" s="1" t="s">
        <v>1382</v>
      </c>
      <c r="E626" s="1" t="s">
        <v>334</v>
      </c>
      <c r="F626" s="1" t="s">
        <v>335</v>
      </c>
      <c r="G626" s="1" t="s">
        <v>1258</v>
      </c>
      <c r="H626" s="1" t="s">
        <v>1369</v>
      </c>
      <c r="I626" s="1">
        <v>12</v>
      </c>
      <c r="J626" s="2">
        <v>2315.65</v>
      </c>
      <c r="K626" s="2">
        <v>2315.64963825</v>
      </c>
      <c r="L626" s="2">
        <v>1657.75</v>
      </c>
      <c r="M626" s="2">
        <v>1657.75</v>
      </c>
      <c r="N626" s="1" t="s">
        <v>45</v>
      </c>
      <c r="O626" s="2">
        <v>1.396863</v>
      </c>
      <c r="P626" s="3">
        <f t="shared" si="18"/>
        <v>1657.75</v>
      </c>
      <c r="Q626" s="3" t="str">
        <f t="shared" si="19"/>
        <v>29084722851657.75</v>
      </c>
      <c r="R626" t="s">
        <v>91</v>
      </c>
      <c r="AB626" t="s">
        <v>445</v>
      </c>
    </row>
    <row r="627" spans="1:28" hidden="1">
      <c r="A627" t="s">
        <v>29</v>
      </c>
      <c r="B627" s="1" t="s">
        <v>710</v>
      </c>
      <c r="C627" s="1" t="s">
        <v>69</v>
      </c>
      <c r="D627" s="1" t="s">
        <v>1383</v>
      </c>
      <c r="E627" s="1" t="s">
        <v>334</v>
      </c>
      <c r="F627" s="1" t="s">
        <v>335</v>
      </c>
      <c r="G627" s="1" t="s">
        <v>1384</v>
      </c>
      <c r="H627" s="1" t="s">
        <v>1369</v>
      </c>
      <c r="I627" s="1">
        <v>12</v>
      </c>
      <c r="J627" s="2">
        <v>2404.4899999999998</v>
      </c>
      <c r="K627" s="2">
        <v>2404.4901250500002</v>
      </c>
      <c r="L627" s="2">
        <v>1721.35</v>
      </c>
      <c r="M627" s="2">
        <v>1721.35</v>
      </c>
      <c r="N627" s="1" t="s">
        <v>45</v>
      </c>
      <c r="O627" s="2">
        <v>1.396863</v>
      </c>
      <c r="P627" s="3">
        <f t="shared" si="18"/>
        <v>1721.35</v>
      </c>
      <c r="Q627" s="3" t="str">
        <f t="shared" si="19"/>
        <v>29084722861721.35</v>
      </c>
      <c r="R627" t="s">
        <v>91</v>
      </c>
      <c r="AB627" t="s">
        <v>445</v>
      </c>
    </row>
    <row r="628" spans="1:28" hidden="1">
      <c r="A628" t="s">
        <v>29</v>
      </c>
      <c r="B628" s="1" t="s">
        <v>710</v>
      </c>
      <c r="C628" s="1" t="s">
        <v>69</v>
      </c>
      <c r="D628" s="1" t="s">
        <v>1385</v>
      </c>
      <c r="E628" s="1" t="s">
        <v>334</v>
      </c>
      <c r="F628" s="1" t="s">
        <v>335</v>
      </c>
      <c r="G628" s="1" t="s">
        <v>772</v>
      </c>
      <c r="H628" s="1" t="s">
        <v>1369</v>
      </c>
      <c r="I628" s="1">
        <v>12</v>
      </c>
      <c r="J628" s="2">
        <v>668.04</v>
      </c>
      <c r="K628" s="2">
        <v>668.03576111999996</v>
      </c>
      <c r="L628" s="2">
        <v>478.24</v>
      </c>
      <c r="M628" s="2">
        <v>478.24</v>
      </c>
      <c r="N628" s="1" t="s">
        <v>45</v>
      </c>
      <c r="O628" s="2">
        <v>1.396863</v>
      </c>
      <c r="P628" s="3">
        <f t="shared" si="18"/>
        <v>478.24</v>
      </c>
      <c r="Q628" s="3" t="str">
        <f t="shared" si="19"/>
        <v>2908472563478.24</v>
      </c>
      <c r="R628" t="s">
        <v>91</v>
      </c>
      <c r="AB628" t="s">
        <v>445</v>
      </c>
    </row>
    <row r="629" spans="1:28" hidden="1">
      <c r="A629" t="s">
        <v>29</v>
      </c>
      <c r="B629" s="1" t="s">
        <v>710</v>
      </c>
      <c r="C629" s="1" t="s">
        <v>69</v>
      </c>
      <c r="D629" s="1" t="s">
        <v>1386</v>
      </c>
      <c r="E629" s="1" t="s">
        <v>334</v>
      </c>
      <c r="F629" s="1" t="s">
        <v>335</v>
      </c>
      <c r="G629" s="1" t="s">
        <v>1387</v>
      </c>
      <c r="H629" s="1" t="s">
        <v>1369</v>
      </c>
      <c r="I629" s="1">
        <v>12</v>
      </c>
      <c r="J629" s="2">
        <v>168.71</v>
      </c>
      <c r="K629" s="2">
        <v>168.71311313999999</v>
      </c>
      <c r="L629" s="2">
        <v>120.78</v>
      </c>
      <c r="M629" s="2">
        <v>120.78</v>
      </c>
      <c r="N629" s="1" t="s">
        <v>45</v>
      </c>
      <c r="O629" s="2">
        <v>1.396863</v>
      </c>
      <c r="P629" s="3">
        <f t="shared" si="18"/>
        <v>120.78</v>
      </c>
      <c r="Q629" s="3" t="str">
        <f t="shared" si="19"/>
        <v>2908472567120.78</v>
      </c>
      <c r="R629" t="s">
        <v>91</v>
      </c>
      <c r="AB629" t="s">
        <v>445</v>
      </c>
    </row>
    <row r="630" spans="1:28" hidden="1">
      <c r="A630" t="s">
        <v>29</v>
      </c>
      <c r="B630" s="1" t="s">
        <v>710</v>
      </c>
      <c r="C630" s="1" t="s">
        <v>69</v>
      </c>
      <c r="D630" s="1" t="s">
        <v>1388</v>
      </c>
      <c r="E630" s="1" t="s">
        <v>334</v>
      </c>
      <c r="F630" s="1" t="s">
        <v>335</v>
      </c>
      <c r="G630" s="1" t="s">
        <v>1258</v>
      </c>
      <c r="H630" s="1" t="s">
        <v>1369</v>
      </c>
      <c r="I630" s="1">
        <v>12</v>
      </c>
      <c r="J630" s="2">
        <v>2315.65</v>
      </c>
      <c r="K630" s="2">
        <v>2315.64963825</v>
      </c>
      <c r="L630" s="2">
        <v>1657.75</v>
      </c>
      <c r="M630" s="2">
        <v>1657.75</v>
      </c>
      <c r="N630" s="1" t="s">
        <v>45</v>
      </c>
      <c r="O630" s="2">
        <v>1.396863</v>
      </c>
      <c r="P630" s="3">
        <f t="shared" si="18"/>
        <v>1657.75</v>
      </c>
      <c r="Q630" s="3" t="str">
        <f t="shared" si="19"/>
        <v>29084727131657.75</v>
      </c>
      <c r="R630" t="s">
        <v>91</v>
      </c>
      <c r="AB630" t="s">
        <v>445</v>
      </c>
    </row>
    <row r="631" spans="1:28" hidden="1">
      <c r="A631" t="s">
        <v>29</v>
      </c>
      <c r="B631" s="1" t="s">
        <v>710</v>
      </c>
      <c r="C631" s="1" t="s">
        <v>69</v>
      </c>
      <c r="D631" s="1" t="s">
        <v>1389</v>
      </c>
      <c r="E631" s="1" t="s">
        <v>239</v>
      </c>
      <c r="F631" s="1" t="s">
        <v>240</v>
      </c>
      <c r="G631" s="1" t="s">
        <v>1243</v>
      </c>
      <c r="H631" s="1" t="s">
        <v>1369</v>
      </c>
      <c r="I631" s="1">
        <v>12</v>
      </c>
      <c r="J631" s="2">
        <v>60747.34</v>
      </c>
      <c r="K631" s="2">
        <v>60747.3368892</v>
      </c>
      <c r="L631" s="2">
        <v>43488.4</v>
      </c>
      <c r="M631" s="2">
        <v>43488.4</v>
      </c>
      <c r="N631" s="1" t="s">
        <v>45</v>
      </c>
      <c r="O631" s="2">
        <v>1.396863</v>
      </c>
      <c r="P631" s="3">
        <f t="shared" si="18"/>
        <v>43488.4</v>
      </c>
      <c r="Q631" s="3" t="str">
        <f t="shared" si="19"/>
        <v>911687595943488.4</v>
      </c>
      <c r="AB631" t="s">
        <v>445</v>
      </c>
    </row>
    <row r="632" spans="1:28" hidden="1">
      <c r="A632" t="s">
        <v>29</v>
      </c>
      <c r="B632" s="1" t="s">
        <v>710</v>
      </c>
      <c r="C632" s="1" t="s">
        <v>69</v>
      </c>
      <c r="D632" s="1" t="s">
        <v>1390</v>
      </c>
      <c r="E632" s="1" t="s">
        <v>1365</v>
      </c>
      <c r="F632" s="1" t="s">
        <v>1366</v>
      </c>
      <c r="G632" s="1" t="s">
        <v>1391</v>
      </c>
      <c r="H632" s="1" t="s">
        <v>1369</v>
      </c>
      <c r="I632" s="1">
        <v>12</v>
      </c>
      <c r="J632" s="2">
        <v>569.03</v>
      </c>
      <c r="K632" s="2">
        <v>569.02611167999999</v>
      </c>
      <c r="L632" s="2">
        <v>407.36</v>
      </c>
      <c r="M632" s="2">
        <v>407.36</v>
      </c>
      <c r="N632" s="1" t="s">
        <v>45</v>
      </c>
      <c r="O632" s="2">
        <v>1.396863</v>
      </c>
      <c r="P632" s="3">
        <f t="shared" si="18"/>
        <v>407.36</v>
      </c>
      <c r="Q632" s="3" t="str">
        <f t="shared" si="19"/>
        <v>15950407.36</v>
      </c>
      <c r="R632" t="s">
        <v>74</v>
      </c>
      <c r="AB632" t="s">
        <v>445</v>
      </c>
    </row>
    <row r="633" spans="1:28" hidden="1">
      <c r="A633" t="s">
        <v>29</v>
      </c>
      <c r="B633" s="1" t="s">
        <v>710</v>
      </c>
      <c r="C633" s="1" t="s">
        <v>69</v>
      </c>
      <c r="D633" s="1" t="s">
        <v>1392</v>
      </c>
      <c r="E633" s="1" t="s">
        <v>236</v>
      </c>
      <c r="F633" s="1" t="s">
        <v>237</v>
      </c>
      <c r="G633" s="1" t="s">
        <v>1393</v>
      </c>
      <c r="H633" s="1" t="s">
        <v>1369</v>
      </c>
      <c r="I633" s="1">
        <v>12</v>
      </c>
      <c r="J633" s="2">
        <v>1988.8</v>
      </c>
      <c r="K633" s="2">
        <v>1988.8</v>
      </c>
      <c r="L633" s="2">
        <v>1988.8</v>
      </c>
      <c r="M633" s="2">
        <v>1988.8</v>
      </c>
      <c r="N633" s="1" t="s">
        <v>36</v>
      </c>
      <c r="O633" s="2">
        <v>1</v>
      </c>
      <c r="P633" s="3">
        <f t="shared" si="18"/>
        <v>1491.6</v>
      </c>
      <c r="Q633" s="3" t="str">
        <f t="shared" si="19"/>
        <v>20251200436441988.8</v>
      </c>
      <c r="AB633" t="s">
        <v>445</v>
      </c>
    </row>
    <row r="634" spans="1:28" hidden="1">
      <c r="A634" t="s">
        <v>29</v>
      </c>
      <c r="B634" s="1" t="s">
        <v>746</v>
      </c>
      <c r="C634" s="1" t="s">
        <v>69</v>
      </c>
      <c r="D634" s="1" t="s">
        <v>1394</v>
      </c>
      <c r="E634" s="1" t="s">
        <v>380</v>
      </c>
      <c r="F634" s="1" t="s">
        <v>381</v>
      </c>
      <c r="G634" s="1" t="s">
        <v>430</v>
      </c>
      <c r="H634" s="1" t="s">
        <v>1369</v>
      </c>
      <c r="I634" s="1">
        <v>12</v>
      </c>
      <c r="J634" s="2">
        <v>40488.68</v>
      </c>
      <c r="K634" s="2">
        <v>40488.68</v>
      </c>
      <c r="L634" s="2">
        <v>40488.68</v>
      </c>
      <c r="M634" s="2">
        <v>40488.68</v>
      </c>
      <c r="N634" s="1" t="s">
        <v>36</v>
      </c>
      <c r="O634" s="2">
        <v>1</v>
      </c>
      <c r="P634" s="3">
        <f t="shared" si="18"/>
        <v>30366.510000000002</v>
      </c>
      <c r="Q634" s="3" t="str">
        <f t="shared" si="19"/>
        <v>2983340488.68</v>
      </c>
      <c r="R634" t="s">
        <v>37</v>
      </c>
      <c r="AB634" t="s">
        <v>445</v>
      </c>
    </row>
    <row r="635" spans="1:28" hidden="1">
      <c r="A635" t="s">
        <v>29</v>
      </c>
      <c r="B635" s="1" t="s">
        <v>1028</v>
      </c>
      <c r="C635" s="1" t="s">
        <v>69</v>
      </c>
      <c r="D635" s="1" t="s">
        <v>1395</v>
      </c>
      <c r="E635" s="1" t="s">
        <v>156</v>
      </c>
      <c r="F635" s="1" t="s">
        <v>156</v>
      </c>
      <c r="G635" s="1" t="s">
        <v>865</v>
      </c>
      <c r="H635" s="1" t="s">
        <v>1369</v>
      </c>
      <c r="I635" s="1">
        <v>12</v>
      </c>
      <c r="J635" s="2">
        <v>1010.31</v>
      </c>
      <c r="K635" s="2">
        <v>1010.31</v>
      </c>
      <c r="L635" s="2">
        <v>1010.31</v>
      </c>
      <c r="M635" s="2">
        <v>1010.31</v>
      </c>
      <c r="N635" s="1" t="s">
        <v>36</v>
      </c>
      <c r="O635" s="2">
        <v>1</v>
      </c>
      <c r="P635" s="3">
        <f t="shared" si="18"/>
        <v>757.73249999999996</v>
      </c>
      <c r="Q635" s="3" t="str">
        <f t="shared" si="19"/>
        <v>2-704-142361010.31</v>
      </c>
      <c r="AB635" t="s">
        <v>445</v>
      </c>
    </row>
    <row r="636" spans="1:28" hidden="1">
      <c r="A636" t="s">
        <v>29</v>
      </c>
      <c r="B636" s="1" t="s">
        <v>1150</v>
      </c>
      <c r="C636" s="1" t="s">
        <v>69</v>
      </c>
      <c r="D636" s="1" t="s">
        <v>1396</v>
      </c>
      <c r="E636" s="1" t="s">
        <v>98</v>
      </c>
      <c r="F636" s="1"/>
      <c r="G636" s="1" t="s">
        <v>1397</v>
      </c>
      <c r="H636" s="1" t="s">
        <v>1369</v>
      </c>
      <c r="I636" s="1">
        <v>12</v>
      </c>
      <c r="J636" s="2">
        <v>4305.6400000000003</v>
      </c>
      <c r="K636" s="2">
        <v>4305.6372149999997</v>
      </c>
      <c r="L636" s="2">
        <v>3135</v>
      </c>
      <c r="M636" s="2">
        <v>3135</v>
      </c>
      <c r="N636" s="1" t="s">
        <v>45</v>
      </c>
      <c r="O636" s="2">
        <v>1.3734090000000001</v>
      </c>
      <c r="P636" s="3">
        <f t="shared" si="18"/>
        <v>3135</v>
      </c>
      <c r="Q636" s="3" t="str">
        <f t="shared" si="19"/>
        <v>2512113TSN3135</v>
      </c>
    </row>
    <row r="637" spans="1:28" hidden="1">
      <c r="A637" t="s">
        <v>29</v>
      </c>
      <c r="B637" s="1" t="s">
        <v>1369</v>
      </c>
      <c r="C637" s="1" t="s">
        <v>69</v>
      </c>
      <c r="D637" s="1" t="s">
        <v>1398</v>
      </c>
      <c r="E637" s="1" t="s">
        <v>316</v>
      </c>
      <c r="F637" s="1" t="s">
        <v>316</v>
      </c>
      <c r="G637" s="1" t="s">
        <v>1399</v>
      </c>
      <c r="H637" s="1" t="s">
        <v>1369</v>
      </c>
      <c r="I637" s="1">
        <v>12</v>
      </c>
      <c r="J637" s="2">
        <v>197.64</v>
      </c>
      <c r="K637" s="2">
        <v>197.64</v>
      </c>
      <c r="L637" s="2">
        <v>197.64</v>
      </c>
      <c r="M637" s="2">
        <v>197.64</v>
      </c>
      <c r="N637" s="1" t="s">
        <v>36</v>
      </c>
      <c r="O637" s="2">
        <v>1</v>
      </c>
      <c r="P637" s="3">
        <f t="shared" si="18"/>
        <v>148.22999999999999</v>
      </c>
      <c r="Q637" s="3" t="str">
        <f t="shared" si="19"/>
        <v>140010 - Jan'26197.64</v>
      </c>
      <c r="R637" t="s">
        <v>318</v>
      </c>
      <c r="AB637" t="s">
        <v>445</v>
      </c>
    </row>
    <row r="638" spans="1:28" hidden="1">
      <c r="A638" t="s">
        <v>29</v>
      </c>
      <c r="B638" s="1" t="s">
        <v>1369</v>
      </c>
      <c r="C638" s="1" t="s">
        <v>69</v>
      </c>
      <c r="D638" s="1" t="s">
        <v>1400</v>
      </c>
      <c r="E638" s="1" t="s">
        <v>316</v>
      </c>
      <c r="F638" s="1"/>
      <c r="G638" s="1" t="s">
        <v>1401</v>
      </c>
      <c r="H638" s="1" t="s">
        <v>1369</v>
      </c>
      <c r="I638" s="1">
        <v>12</v>
      </c>
      <c r="J638" s="2">
        <v>732.24</v>
      </c>
      <c r="K638" s="2">
        <v>732.24</v>
      </c>
      <c r="L638" s="2">
        <v>732.24</v>
      </c>
      <c r="M638" s="2">
        <v>732.24</v>
      </c>
      <c r="N638" s="1" t="s">
        <v>36</v>
      </c>
      <c r="O638" s="2">
        <v>1</v>
      </c>
      <c r="P638" s="3">
        <f t="shared" si="18"/>
        <v>549.18000000000006</v>
      </c>
      <c r="Q638" s="3" t="str">
        <f t="shared" si="19"/>
        <v>00271157732.24</v>
      </c>
    </row>
    <row r="639" spans="1:28" hidden="1">
      <c r="A639" t="s">
        <v>29</v>
      </c>
      <c r="B639" s="1" t="s">
        <v>746</v>
      </c>
      <c r="C639" s="1" t="s">
        <v>69</v>
      </c>
      <c r="D639" s="1" t="s">
        <v>1402</v>
      </c>
      <c r="E639" s="1" t="s">
        <v>135</v>
      </c>
      <c r="F639" s="1" t="s">
        <v>136</v>
      </c>
      <c r="G639" s="1" t="s">
        <v>789</v>
      </c>
      <c r="H639" s="1" t="s">
        <v>1403</v>
      </c>
      <c r="I639" s="1">
        <v>11</v>
      </c>
      <c r="J639" s="2">
        <v>27620.48</v>
      </c>
      <c r="K639" s="2">
        <v>27620.48</v>
      </c>
      <c r="L639" s="2">
        <v>27620.48</v>
      </c>
      <c r="M639" s="2">
        <v>27620.48</v>
      </c>
      <c r="N639" s="1" t="s">
        <v>36</v>
      </c>
      <c r="O639" s="2">
        <v>1</v>
      </c>
      <c r="P639" s="3">
        <f t="shared" si="18"/>
        <v>20715.36</v>
      </c>
      <c r="Q639" s="3" t="str">
        <f t="shared" si="19"/>
        <v>FLSI-70644627620.48</v>
      </c>
      <c r="R639" t="s">
        <v>758</v>
      </c>
      <c r="S639" t="s">
        <v>60</v>
      </c>
      <c r="T639" t="s">
        <v>102</v>
      </c>
      <c r="AB639" t="s">
        <v>1404</v>
      </c>
    </row>
    <row r="640" spans="1:28" hidden="1">
      <c r="A640" t="s">
        <v>29</v>
      </c>
      <c r="B640" s="1" t="s">
        <v>746</v>
      </c>
      <c r="C640" s="1" t="s">
        <v>69</v>
      </c>
      <c r="D640" s="1" t="s">
        <v>1405</v>
      </c>
      <c r="E640" s="1" t="s">
        <v>584</v>
      </c>
      <c r="F640" s="1" t="s">
        <v>585</v>
      </c>
      <c r="G640" s="1" t="s">
        <v>752</v>
      </c>
      <c r="H640" s="1" t="s">
        <v>1403</v>
      </c>
      <c r="I640" s="1">
        <v>11</v>
      </c>
      <c r="J640" s="2">
        <v>179</v>
      </c>
      <c r="K640" s="2">
        <v>179</v>
      </c>
      <c r="L640" s="2">
        <v>179</v>
      </c>
      <c r="M640" s="2">
        <v>179</v>
      </c>
      <c r="N640" s="1" t="s">
        <v>36</v>
      </c>
      <c r="O640" s="2">
        <v>1</v>
      </c>
      <c r="P640" s="3">
        <f t="shared" ref="P640:P703" si="20">IF(N640="CAD",$P$1,1)*M640</f>
        <v>134.25</v>
      </c>
      <c r="Q640" s="3" t="str">
        <f t="shared" ref="Q640:Q703" si="21">D640&amp;M640</f>
        <v>7787693179</v>
      </c>
      <c r="AB640" t="s">
        <v>1404</v>
      </c>
    </row>
    <row r="641" spans="1:28" hidden="1">
      <c r="A641" t="s">
        <v>29</v>
      </c>
      <c r="B641" s="1" t="s">
        <v>746</v>
      </c>
      <c r="C641" s="1" t="s">
        <v>69</v>
      </c>
      <c r="D641" s="1" t="s">
        <v>1406</v>
      </c>
      <c r="E641" s="1" t="s">
        <v>584</v>
      </c>
      <c r="F641" s="1" t="s">
        <v>585</v>
      </c>
      <c r="G641" s="1" t="s">
        <v>752</v>
      </c>
      <c r="H641" s="1" t="s">
        <v>1403</v>
      </c>
      <c r="I641" s="1">
        <v>11</v>
      </c>
      <c r="J641" s="2">
        <v>198.21</v>
      </c>
      <c r="K641" s="2">
        <v>198.21</v>
      </c>
      <c r="L641" s="2">
        <v>198.21</v>
      </c>
      <c r="M641" s="2">
        <v>198.21</v>
      </c>
      <c r="N641" s="1" t="s">
        <v>36</v>
      </c>
      <c r="O641" s="2">
        <v>1</v>
      </c>
      <c r="P641" s="3">
        <f t="shared" si="20"/>
        <v>148.6575</v>
      </c>
      <c r="Q641" s="3" t="str">
        <f t="shared" si="21"/>
        <v>7787594198.21</v>
      </c>
      <c r="AB641" t="s">
        <v>1404</v>
      </c>
    </row>
    <row r="642" spans="1:28" hidden="1">
      <c r="A642" t="s">
        <v>29</v>
      </c>
      <c r="B642" s="1" t="s">
        <v>746</v>
      </c>
      <c r="C642" s="1" t="s">
        <v>69</v>
      </c>
      <c r="D642" s="1" t="s">
        <v>1407</v>
      </c>
      <c r="E642" s="1" t="s">
        <v>616</v>
      </c>
      <c r="F642" s="1" t="s">
        <v>222</v>
      </c>
      <c r="G642" s="1" t="s">
        <v>1408</v>
      </c>
      <c r="H642" s="1" t="s">
        <v>1403</v>
      </c>
      <c r="I642" s="1">
        <v>11</v>
      </c>
      <c r="J642" s="2">
        <v>11655.13</v>
      </c>
      <c r="K642" s="2">
        <v>11655.13</v>
      </c>
      <c r="L642" s="2">
        <v>11655.13</v>
      </c>
      <c r="M642" s="2">
        <v>11655.13</v>
      </c>
      <c r="N642" s="1" t="s">
        <v>36</v>
      </c>
      <c r="O642" s="2">
        <v>1</v>
      </c>
      <c r="P642" s="3">
        <f t="shared" si="20"/>
        <v>8741.3474999999999</v>
      </c>
      <c r="Q642" s="3" t="str">
        <f t="shared" si="21"/>
        <v>FGL000514311655.13</v>
      </c>
      <c r="AB642" t="s">
        <v>1404</v>
      </c>
    </row>
    <row r="643" spans="1:28" hidden="1">
      <c r="A643" t="s">
        <v>29</v>
      </c>
      <c r="B643" s="1" t="s">
        <v>746</v>
      </c>
      <c r="C643" s="1" t="s">
        <v>69</v>
      </c>
      <c r="D643" s="1" t="s">
        <v>1409</v>
      </c>
      <c r="E643" s="1" t="s">
        <v>511</v>
      </c>
      <c r="F643" s="1" t="s">
        <v>512</v>
      </c>
      <c r="G643" s="1" t="s">
        <v>1410</v>
      </c>
      <c r="H643" s="1" t="s">
        <v>1403</v>
      </c>
      <c r="I643" s="1">
        <v>11</v>
      </c>
      <c r="J643" s="2">
        <v>13573.11</v>
      </c>
      <c r="K643" s="2">
        <v>13573.11</v>
      </c>
      <c r="L643" s="2">
        <v>13573.11</v>
      </c>
      <c r="M643" s="2">
        <v>13573.11</v>
      </c>
      <c r="N643" s="1" t="s">
        <v>36</v>
      </c>
      <c r="O643" s="2">
        <v>1</v>
      </c>
      <c r="P643" s="3">
        <f t="shared" si="20"/>
        <v>10179.8325</v>
      </c>
      <c r="Q643" s="3" t="str">
        <f t="shared" si="21"/>
        <v>AH17I7U13573.11</v>
      </c>
      <c r="R643" t="s">
        <v>37</v>
      </c>
      <c r="AB643" t="s">
        <v>1404</v>
      </c>
    </row>
    <row r="644" spans="1:28" hidden="1">
      <c r="A644" t="s">
        <v>29</v>
      </c>
      <c r="B644" s="1" t="s">
        <v>746</v>
      </c>
      <c r="C644" s="1" t="s">
        <v>69</v>
      </c>
      <c r="D644" s="1" t="s">
        <v>1411</v>
      </c>
      <c r="E644" s="1" t="s">
        <v>334</v>
      </c>
      <c r="F644" s="1" t="s">
        <v>335</v>
      </c>
      <c r="G644" s="1" t="s">
        <v>1412</v>
      </c>
      <c r="H644" s="1" t="s">
        <v>1403</v>
      </c>
      <c r="I644" s="1">
        <v>11</v>
      </c>
      <c r="J644" s="2">
        <v>985.57</v>
      </c>
      <c r="K644" s="2">
        <v>985.56878057999995</v>
      </c>
      <c r="L644" s="2">
        <v>705.83</v>
      </c>
      <c r="M644" s="2">
        <v>705.83</v>
      </c>
      <c r="N644" s="1" t="s">
        <v>45</v>
      </c>
      <c r="O644" s="2">
        <v>1.396326</v>
      </c>
      <c r="P644" s="3">
        <f t="shared" si="20"/>
        <v>705.83</v>
      </c>
      <c r="Q644" s="3" t="str">
        <f t="shared" si="21"/>
        <v>2908473451705.83</v>
      </c>
      <c r="R644" t="s">
        <v>91</v>
      </c>
      <c r="AB644" t="s">
        <v>1404</v>
      </c>
    </row>
    <row r="645" spans="1:28" hidden="1">
      <c r="A645" t="s">
        <v>29</v>
      </c>
      <c r="B645" s="1" t="s">
        <v>746</v>
      </c>
      <c r="C645" s="1" t="s">
        <v>69</v>
      </c>
      <c r="D645" s="1" t="s">
        <v>1413</v>
      </c>
      <c r="E645" s="1" t="s">
        <v>334</v>
      </c>
      <c r="F645" s="1" t="s">
        <v>335</v>
      </c>
      <c r="G645" s="1" t="s">
        <v>1414</v>
      </c>
      <c r="H645" s="1" t="s">
        <v>1403</v>
      </c>
      <c r="I645" s="1">
        <v>11</v>
      </c>
      <c r="J645" s="2">
        <v>2786.7</v>
      </c>
      <c r="K645" s="2">
        <v>2786.70365124</v>
      </c>
      <c r="L645" s="2">
        <v>1995.74</v>
      </c>
      <c r="M645" s="2">
        <v>1995.74</v>
      </c>
      <c r="N645" s="1" t="s">
        <v>45</v>
      </c>
      <c r="O645" s="2">
        <v>1.396326</v>
      </c>
      <c r="P645" s="3">
        <f t="shared" si="20"/>
        <v>1995.74</v>
      </c>
      <c r="Q645" s="3" t="str">
        <f t="shared" si="21"/>
        <v>29084738571995.74</v>
      </c>
      <c r="R645" t="s">
        <v>91</v>
      </c>
      <c r="AB645" t="s">
        <v>1404</v>
      </c>
    </row>
    <row r="646" spans="1:28" hidden="1">
      <c r="A646" t="s">
        <v>29</v>
      </c>
      <c r="B646" s="1" t="s">
        <v>746</v>
      </c>
      <c r="C646" s="1" t="s">
        <v>69</v>
      </c>
      <c r="D646" s="1" t="s">
        <v>1415</v>
      </c>
      <c r="E646" s="1" t="s">
        <v>334</v>
      </c>
      <c r="F646" s="1" t="s">
        <v>335</v>
      </c>
      <c r="G646" s="1" t="s">
        <v>1258</v>
      </c>
      <c r="H646" s="1" t="s">
        <v>1403</v>
      </c>
      <c r="I646" s="1">
        <v>11</v>
      </c>
      <c r="J646" s="2">
        <v>2314.7600000000002</v>
      </c>
      <c r="K646" s="2">
        <v>2314.7594264999998</v>
      </c>
      <c r="L646" s="2">
        <v>1657.75</v>
      </c>
      <c r="M646" s="2">
        <v>1657.75</v>
      </c>
      <c r="N646" s="1" t="s">
        <v>45</v>
      </c>
      <c r="O646" s="2">
        <v>1.396326</v>
      </c>
      <c r="P646" s="3">
        <f t="shared" si="20"/>
        <v>1657.75</v>
      </c>
      <c r="Q646" s="3" t="str">
        <f t="shared" si="21"/>
        <v>29084741991657.75</v>
      </c>
      <c r="R646" t="s">
        <v>91</v>
      </c>
      <c r="AB646" t="s">
        <v>1404</v>
      </c>
    </row>
    <row r="647" spans="1:28" hidden="1">
      <c r="A647" t="s">
        <v>29</v>
      </c>
      <c r="B647" s="1" t="s">
        <v>746</v>
      </c>
      <c r="C647" s="1" t="s">
        <v>69</v>
      </c>
      <c r="D647" s="1" t="s">
        <v>1416</v>
      </c>
      <c r="E647" s="1" t="s">
        <v>334</v>
      </c>
      <c r="F647" s="1" t="s">
        <v>335</v>
      </c>
      <c r="G647" s="1" t="s">
        <v>1258</v>
      </c>
      <c r="H647" s="1" t="s">
        <v>1403</v>
      </c>
      <c r="I647" s="1">
        <v>11</v>
      </c>
      <c r="J647" s="2">
        <v>3432.87</v>
      </c>
      <c r="K647" s="2">
        <v>3432.867471</v>
      </c>
      <c r="L647" s="2">
        <v>2458.5</v>
      </c>
      <c r="M647" s="2">
        <v>2458.5</v>
      </c>
      <c r="N647" s="1" t="s">
        <v>45</v>
      </c>
      <c r="O647" s="2">
        <v>1.396326</v>
      </c>
      <c r="P647" s="3">
        <f t="shared" si="20"/>
        <v>2458.5</v>
      </c>
      <c r="Q647" s="3" t="str">
        <f t="shared" si="21"/>
        <v>29084744012458.5</v>
      </c>
      <c r="R647" t="s">
        <v>91</v>
      </c>
      <c r="AB647" t="s">
        <v>1404</v>
      </c>
    </row>
    <row r="648" spans="1:28" hidden="1">
      <c r="A648" t="s">
        <v>29</v>
      </c>
      <c r="B648" s="1" t="s">
        <v>746</v>
      </c>
      <c r="C648" s="1" t="s">
        <v>69</v>
      </c>
      <c r="D648" s="1" t="s">
        <v>1417</v>
      </c>
      <c r="E648" s="1" t="s">
        <v>334</v>
      </c>
      <c r="F648" s="1" t="s">
        <v>335</v>
      </c>
      <c r="G648" s="1" t="s">
        <v>1418</v>
      </c>
      <c r="H648" s="1" t="s">
        <v>1403</v>
      </c>
      <c r="I648" s="1">
        <v>11</v>
      </c>
      <c r="J648" s="2">
        <v>6556.18</v>
      </c>
      <c r="K648" s="2">
        <v>6556.1834310599997</v>
      </c>
      <c r="L648" s="2">
        <v>4695.3100000000004</v>
      </c>
      <c r="M648" s="2">
        <v>4695.3100000000004</v>
      </c>
      <c r="N648" s="1" t="s">
        <v>45</v>
      </c>
      <c r="O648" s="2">
        <v>1.396326</v>
      </c>
      <c r="P648" s="3">
        <f t="shared" si="20"/>
        <v>4695.3100000000004</v>
      </c>
      <c r="Q648" s="3" t="str">
        <f t="shared" si="21"/>
        <v>29084744394695.31</v>
      </c>
      <c r="R648" t="s">
        <v>91</v>
      </c>
      <c r="AB648" t="s">
        <v>1404</v>
      </c>
    </row>
    <row r="649" spans="1:28" hidden="1">
      <c r="A649" t="s">
        <v>29</v>
      </c>
      <c r="B649" s="1" t="s">
        <v>746</v>
      </c>
      <c r="C649" s="1" t="s">
        <v>69</v>
      </c>
      <c r="D649" s="1" t="s">
        <v>1419</v>
      </c>
      <c r="E649" s="1" t="s">
        <v>334</v>
      </c>
      <c r="F649" s="1" t="s">
        <v>335</v>
      </c>
      <c r="G649" s="1" t="s">
        <v>772</v>
      </c>
      <c r="H649" s="1" t="s">
        <v>1403</v>
      </c>
      <c r="I649" s="1">
        <v>11</v>
      </c>
      <c r="J649" s="2">
        <v>2112.36</v>
      </c>
      <c r="K649" s="2">
        <v>2112.3619727999999</v>
      </c>
      <c r="L649" s="2">
        <v>1512.8</v>
      </c>
      <c r="M649" s="2">
        <v>1512.8</v>
      </c>
      <c r="N649" s="1" t="s">
        <v>45</v>
      </c>
      <c r="O649" s="2">
        <v>1.396326</v>
      </c>
      <c r="P649" s="3">
        <f t="shared" si="20"/>
        <v>1512.8</v>
      </c>
      <c r="Q649" s="3" t="str">
        <f t="shared" si="21"/>
        <v>29084747221512.8</v>
      </c>
      <c r="R649" t="s">
        <v>91</v>
      </c>
      <c r="AB649" t="s">
        <v>1404</v>
      </c>
    </row>
    <row r="650" spans="1:28" hidden="1">
      <c r="A650" t="s">
        <v>29</v>
      </c>
      <c r="B650" s="1" t="s">
        <v>746</v>
      </c>
      <c r="C650" s="1" t="s">
        <v>69</v>
      </c>
      <c r="D650" s="1" t="s">
        <v>1420</v>
      </c>
      <c r="E650" s="1" t="s">
        <v>334</v>
      </c>
      <c r="F650" s="1" t="s">
        <v>335</v>
      </c>
      <c r="G650" s="1" t="s">
        <v>1258</v>
      </c>
      <c r="H650" s="1" t="s">
        <v>1403</v>
      </c>
      <c r="I650" s="1">
        <v>11</v>
      </c>
      <c r="J650" s="2">
        <v>2222.17</v>
      </c>
      <c r="K650" s="2">
        <v>2222.16904944</v>
      </c>
      <c r="L650" s="2">
        <v>1591.44</v>
      </c>
      <c r="M650" s="2">
        <v>1591.44</v>
      </c>
      <c r="N650" s="1" t="s">
        <v>45</v>
      </c>
      <c r="O650" s="2">
        <v>1.396326</v>
      </c>
      <c r="P650" s="3">
        <f t="shared" si="20"/>
        <v>1591.44</v>
      </c>
      <c r="Q650" s="3" t="str">
        <f t="shared" si="21"/>
        <v>29084747251591.44</v>
      </c>
      <c r="R650" t="s">
        <v>91</v>
      </c>
      <c r="AB650" t="s">
        <v>1404</v>
      </c>
    </row>
    <row r="651" spans="1:28" hidden="1">
      <c r="A651" t="s">
        <v>29</v>
      </c>
      <c r="B651" s="1" t="s">
        <v>746</v>
      </c>
      <c r="C651" s="1" t="s">
        <v>69</v>
      </c>
      <c r="D651" s="1" t="s">
        <v>1421</v>
      </c>
      <c r="E651" s="1" t="s">
        <v>334</v>
      </c>
      <c r="F651" s="1" t="s">
        <v>335</v>
      </c>
      <c r="G651" s="1" t="s">
        <v>1308</v>
      </c>
      <c r="H651" s="1" t="s">
        <v>1403</v>
      </c>
      <c r="I651" s="1">
        <v>11</v>
      </c>
      <c r="J651" s="2">
        <v>131.91999999999999</v>
      </c>
      <c r="K651" s="2">
        <v>131.92488048000001</v>
      </c>
      <c r="L651" s="2">
        <v>94.48</v>
      </c>
      <c r="M651" s="2">
        <v>94.48</v>
      </c>
      <c r="N651" s="1" t="s">
        <v>45</v>
      </c>
      <c r="O651" s="2">
        <v>1.396326</v>
      </c>
      <c r="P651" s="3">
        <f t="shared" si="20"/>
        <v>94.48</v>
      </c>
      <c r="Q651" s="3" t="str">
        <f t="shared" si="21"/>
        <v>290847472694.48</v>
      </c>
      <c r="R651" t="s">
        <v>91</v>
      </c>
      <c r="AB651" t="s">
        <v>1404</v>
      </c>
    </row>
    <row r="652" spans="1:28" hidden="1">
      <c r="A652" t="s">
        <v>29</v>
      </c>
      <c r="B652" s="1" t="s">
        <v>1403</v>
      </c>
      <c r="C652" s="1" t="s">
        <v>69</v>
      </c>
      <c r="D652" s="1" t="s">
        <v>1422</v>
      </c>
      <c r="E652" s="1" t="s">
        <v>1423</v>
      </c>
      <c r="F652" s="1" t="s">
        <v>1424</v>
      </c>
      <c r="G652" s="1" t="s">
        <v>1425</v>
      </c>
      <c r="H652" s="1" t="s">
        <v>1403</v>
      </c>
      <c r="I652" s="1">
        <v>11</v>
      </c>
      <c r="J652" s="2">
        <v>794.56</v>
      </c>
      <c r="K652" s="2">
        <v>794.56</v>
      </c>
      <c r="L652" s="2">
        <v>794.56</v>
      </c>
      <c r="M652" s="2">
        <v>794.56</v>
      </c>
      <c r="N652" s="1" t="s">
        <v>36</v>
      </c>
      <c r="O652" s="2">
        <v>1</v>
      </c>
      <c r="P652" s="3">
        <f t="shared" si="20"/>
        <v>595.91999999999996</v>
      </c>
      <c r="Q652" s="3" t="str">
        <f t="shared" si="21"/>
        <v>TENSTORR01001794.56</v>
      </c>
      <c r="R652" t="s">
        <v>383</v>
      </c>
      <c r="AB652" t="s">
        <v>1404</v>
      </c>
    </row>
    <row r="653" spans="1:28" hidden="1">
      <c r="A653" t="s">
        <v>29</v>
      </c>
      <c r="B653" s="1" t="s">
        <v>1403</v>
      </c>
      <c r="C653" s="1" t="s">
        <v>69</v>
      </c>
      <c r="D653" s="1" t="s">
        <v>32</v>
      </c>
      <c r="E653" s="1" t="s">
        <v>511</v>
      </c>
      <c r="F653" s="1" t="s">
        <v>512</v>
      </c>
      <c r="G653" s="1" t="s">
        <v>1426</v>
      </c>
      <c r="H653" s="1" t="s">
        <v>1403</v>
      </c>
      <c r="I653" s="1">
        <v>11</v>
      </c>
      <c r="J653" s="2">
        <v>154.25</v>
      </c>
      <c r="K653" s="2">
        <v>154.25</v>
      </c>
      <c r="L653" s="2">
        <v>154.25</v>
      </c>
      <c r="M653" s="2">
        <v>154.25</v>
      </c>
      <c r="N653" s="1" t="s">
        <v>36</v>
      </c>
      <c r="O653" s="2">
        <v>1</v>
      </c>
      <c r="P653" s="3">
        <f t="shared" si="20"/>
        <v>115.6875</v>
      </c>
      <c r="Q653" s="3" t="str">
        <f t="shared" si="21"/>
        <v>154.25</v>
      </c>
      <c r="R653" t="s">
        <v>37</v>
      </c>
      <c r="AB653" t="s">
        <v>1404</v>
      </c>
    </row>
    <row r="654" spans="1:28" hidden="1">
      <c r="A654" t="s">
        <v>29</v>
      </c>
      <c r="B654" s="1" t="s">
        <v>1403</v>
      </c>
      <c r="C654" s="1" t="s">
        <v>69</v>
      </c>
      <c r="D654" s="1" t="s">
        <v>1427</v>
      </c>
      <c r="E654" s="1" t="s">
        <v>53</v>
      </c>
      <c r="F654" s="1" t="s">
        <v>54</v>
      </c>
      <c r="G654" s="1" t="s">
        <v>1428</v>
      </c>
      <c r="H654" s="1" t="s">
        <v>1403</v>
      </c>
      <c r="I654" s="1">
        <v>11</v>
      </c>
      <c r="J654" s="2">
        <v>66.44</v>
      </c>
      <c r="K654" s="2">
        <v>66.444221999999996</v>
      </c>
      <c r="L654" s="2">
        <v>48.36</v>
      </c>
      <c r="M654" s="2">
        <v>48.36</v>
      </c>
      <c r="N654" s="1" t="s">
        <v>45</v>
      </c>
      <c r="O654" s="2">
        <v>1.37395</v>
      </c>
      <c r="P654" s="3">
        <f t="shared" si="20"/>
        <v>48.36</v>
      </c>
      <c r="Q654" s="3" t="str">
        <f t="shared" si="21"/>
        <v>11571375048.36</v>
      </c>
      <c r="AB654" t="s">
        <v>1404</v>
      </c>
    </row>
    <row r="655" spans="1:28" hidden="1">
      <c r="A655" t="s">
        <v>29</v>
      </c>
      <c r="B655" s="1" t="s">
        <v>1403</v>
      </c>
      <c r="C655" s="1" t="s">
        <v>69</v>
      </c>
      <c r="D655" s="1" t="s">
        <v>1429</v>
      </c>
      <c r="E655" s="1" t="s">
        <v>805</v>
      </c>
      <c r="F655" s="1"/>
      <c r="G655" s="1" t="s">
        <v>1430</v>
      </c>
      <c r="H655" s="1" t="s">
        <v>1403</v>
      </c>
      <c r="I655" s="1">
        <v>11</v>
      </c>
      <c r="J655" s="2">
        <v>7684</v>
      </c>
      <c r="K655" s="2">
        <v>7684</v>
      </c>
      <c r="L655" s="2">
        <v>7684</v>
      </c>
      <c r="M655" s="2">
        <v>7684</v>
      </c>
      <c r="N655" s="1" t="s">
        <v>36</v>
      </c>
      <c r="O655" s="2">
        <v>1</v>
      </c>
      <c r="P655" s="3">
        <f t="shared" si="20"/>
        <v>5763</v>
      </c>
      <c r="Q655" s="3" t="str">
        <f t="shared" si="21"/>
        <v>2025-TTHDOC-00477684</v>
      </c>
    </row>
    <row r="656" spans="1:28" hidden="1">
      <c r="A656" t="s">
        <v>29</v>
      </c>
      <c r="B656" s="1" t="s">
        <v>1403</v>
      </c>
      <c r="C656" s="1" t="s">
        <v>69</v>
      </c>
      <c r="D656" s="1" t="s">
        <v>1431</v>
      </c>
      <c r="E656" s="1" t="s">
        <v>805</v>
      </c>
      <c r="F656" s="1"/>
      <c r="G656" s="1" t="s">
        <v>1430</v>
      </c>
      <c r="H656" s="1" t="s">
        <v>1403</v>
      </c>
      <c r="I656" s="1">
        <v>11</v>
      </c>
      <c r="J656" s="2">
        <v>26035.200000000001</v>
      </c>
      <c r="K656" s="2">
        <v>26035.200000000001</v>
      </c>
      <c r="L656" s="2">
        <v>26035.200000000001</v>
      </c>
      <c r="M656" s="2">
        <v>26035.200000000001</v>
      </c>
      <c r="N656" s="1" t="s">
        <v>36</v>
      </c>
      <c r="O656" s="2">
        <v>1</v>
      </c>
      <c r="P656" s="3">
        <f t="shared" si="20"/>
        <v>19526.400000000001</v>
      </c>
      <c r="Q656" s="3" t="str">
        <f t="shared" si="21"/>
        <v>2025-TT-017326035.2</v>
      </c>
    </row>
    <row r="657" spans="1:28" hidden="1">
      <c r="A657" t="s">
        <v>29</v>
      </c>
      <c r="B657" s="1" t="s">
        <v>761</v>
      </c>
      <c r="C657" s="1" t="s">
        <v>69</v>
      </c>
      <c r="D657" s="1" t="s">
        <v>1432</v>
      </c>
      <c r="E657" s="1" t="s">
        <v>334</v>
      </c>
      <c r="F657" s="1" t="s">
        <v>335</v>
      </c>
      <c r="G657" s="1" t="s">
        <v>1433</v>
      </c>
      <c r="H657" s="1" t="s">
        <v>1434</v>
      </c>
      <c r="I657" s="1">
        <v>10</v>
      </c>
      <c r="J657" s="2">
        <v>106787.26</v>
      </c>
      <c r="K657" s="2">
        <v>106787.25644</v>
      </c>
      <c r="L657" s="2">
        <v>76520</v>
      </c>
      <c r="M657" s="2">
        <v>76520</v>
      </c>
      <c r="N657" s="1" t="s">
        <v>45</v>
      </c>
      <c r="O657" s="2">
        <v>1.3955470000000001</v>
      </c>
      <c r="P657" s="3">
        <f t="shared" si="20"/>
        <v>76520</v>
      </c>
      <c r="Q657" s="3" t="str">
        <f t="shared" si="21"/>
        <v>190976919276520</v>
      </c>
      <c r="R657" t="s">
        <v>91</v>
      </c>
      <c r="AB657" t="s">
        <v>1404</v>
      </c>
    </row>
    <row r="658" spans="1:28" hidden="1">
      <c r="A658" t="s">
        <v>29</v>
      </c>
      <c r="B658" s="1" t="s">
        <v>761</v>
      </c>
      <c r="C658" s="1" t="s">
        <v>69</v>
      </c>
      <c r="D658" s="1" t="s">
        <v>1435</v>
      </c>
      <c r="E658" s="1" t="s">
        <v>511</v>
      </c>
      <c r="F658" s="1" t="s">
        <v>512</v>
      </c>
      <c r="G658" s="1" t="s">
        <v>1436</v>
      </c>
      <c r="H658" s="1" t="s">
        <v>1434</v>
      </c>
      <c r="I658" s="1">
        <v>10</v>
      </c>
      <c r="J658" s="2">
        <v>9308.7000000000007</v>
      </c>
      <c r="K658" s="2">
        <v>9308.7000000000007</v>
      </c>
      <c r="L658" s="2">
        <v>9308.7000000000007</v>
      </c>
      <c r="M658" s="2">
        <v>9308.7000000000007</v>
      </c>
      <c r="N658" s="1" t="s">
        <v>36</v>
      </c>
      <c r="O658" s="2">
        <v>1</v>
      </c>
      <c r="P658" s="3">
        <f t="shared" si="20"/>
        <v>6981.5250000000005</v>
      </c>
      <c r="Q658" s="3" t="str">
        <f t="shared" si="21"/>
        <v>AH2DL7A9308.7</v>
      </c>
      <c r="R658" t="s">
        <v>37</v>
      </c>
      <c r="S658" t="s">
        <v>60</v>
      </c>
      <c r="T658" t="s">
        <v>102</v>
      </c>
      <c r="AB658" t="s">
        <v>1404</v>
      </c>
    </row>
    <row r="659" spans="1:28" hidden="1">
      <c r="A659" t="s">
        <v>29</v>
      </c>
      <c r="B659" s="1" t="s">
        <v>761</v>
      </c>
      <c r="C659" s="1" t="s">
        <v>69</v>
      </c>
      <c r="D659" s="1" t="s">
        <v>1437</v>
      </c>
      <c r="E659" s="1" t="s">
        <v>334</v>
      </c>
      <c r="F659" s="1" t="s">
        <v>335</v>
      </c>
      <c r="G659" s="1" t="s">
        <v>643</v>
      </c>
      <c r="H659" s="1" t="s">
        <v>1434</v>
      </c>
      <c r="I659" s="1">
        <v>10</v>
      </c>
      <c r="J659" s="2">
        <v>2358.4899999999998</v>
      </c>
      <c r="K659" s="2">
        <v>2358.4883854700001</v>
      </c>
      <c r="L659" s="2">
        <v>1690.01</v>
      </c>
      <c r="M659" s="2">
        <v>1690.01</v>
      </c>
      <c r="N659" s="1" t="s">
        <v>45</v>
      </c>
      <c r="O659" s="2">
        <v>1.3955470000000001</v>
      </c>
      <c r="P659" s="3">
        <f t="shared" si="20"/>
        <v>1690.01</v>
      </c>
      <c r="Q659" s="3" t="str">
        <f t="shared" si="21"/>
        <v>29084755931690.01</v>
      </c>
      <c r="R659" t="s">
        <v>91</v>
      </c>
      <c r="AB659" t="s">
        <v>1404</v>
      </c>
    </row>
    <row r="660" spans="1:28" hidden="1">
      <c r="A660" t="s">
        <v>29</v>
      </c>
      <c r="B660" s="1" t="s">
        <v>761</v>
      </c>
      <c r="C660" s="1" t="s">
        <v>69</v>
      </c>
      <c r="D660" s="1" t="s">
        <v>1438</v>
      </c>
      <c r="E660" s="1" t="s">
        <v>334</v>
      </c>
      <c r="F660" s="1" t="s">
        <v>335</v>
      </c>
      <c r="G660" s="1" t="s">
        <v>1118</v>
      </c>
      <c r="H660" s="1" t="s">
        <v>1434</v>
      </c>
      <c r="I660" s="1">
        <v>10</v>
      </c>
      <c r="J660" s="2">
        <v>146.83000000000001</v>
      </c>
      <c r="K660" s="2">
        <v>146.82549986999999</v>
      </c>
      <c r="L660" s="2">
        <v>105.21</v>
      </c>
      <c r="M660" s="2">
        <v>105.21</v>
      </c>
      <c r="N660" s="1" t="s">
        <v>45</v>
      </c>
      <c r="O660" s="2">
        <v>1.3955470000000001</v>
      </c>
      <c r="P660" s="3">
        <f t="shared" si="20"/>
        <v>105.21</v>
      </c>
      <c r="Q660" s="3" t="str">
        <f t="shared" si="21"/>
        <v>2908475596105.21</v>
      </c>
      <c r="R660" t="s">
        <v>91</v>
      </c>
      <c r="AB660" t="s">
        <v>1404</v>
      </c>
    </row>
    <row r="661" spans="1:28" hidden="1">
      <c r="A661" t="s">
        <v>29</v>
      </c>
      <c r="B661" s="1" t="s">
        <v>761</v>
      </c>
      <c r="C661" s="1" t="s">
        <v>69</v>
      </c>
      <c r="D661" s="1" t="s">
        <v>1439</v>
      </c>
      <c r="E661" s="1" t="s">
        <v>334</v>
      </c>
      <c r="F661" s="1" t="s">
        <v>335</v>
      </c>
      <c r="G661" s="1" t="s">
        <v>1118</v>
      </c>
      <c r="H661" s="1" t="s">
        <v>1434</v>
      </c>
      <c r="I661" s="1">
        <v>10</v>
      </c>
      <c r="J661" s="2">
        <v>8.4</v>
      </c>
      <c r="K661" s="2">
        <v>8.4011929399999996</v>
      </c>
      <c r="L661" s="2">
        <v>6.02</v>
      </c>
      <c r="M661" s="2">
        <v>6.02</v>
      </c>
      <c r="N661" s="1" t="s">
        <v>45</v>
      </c>
      <c r="O661" s="2">
        <v>1.3955470000000001</v>
      </c>
      <c r="P661" s="3">
        <f t="shared" si="20"/>
        <v>6.02</v>
      </c>
      <c r="Q661" s="3" t="str">
        <f t="shared" si="21"/>
        <v>29084761286.02</v>
      </c>
      <c r="R661" t="s">
        <v>91</v>
      </c>
      <c r="AB661" t="s">
        <v>1404</v>
      </c>
    </row>
    <row r="662" spans="1:28" hidden="1">
      <c r="A662" t="s">
        <v>29</v>
      </c>
      <c r="B662" s="1" t="s">
        <v>761</v>
      </c>
      <c r="C662" s="1" t="s">
        <v>69</v>
      </c>
      <c r="D662" s="1" t="s">
        <v>1440</v>
      </c>
      <c r="E662" s="1" t="s">
        <v>334</v>
      </c>
      <c r="F662" s="1" t="s">
        <v>335</v>
      </c>
      <c r="G662" s="1" t="s">
        <v>748</v>
      </c>
      <c r="H662" s="1" t="s">
        <v>1434</v>
      </c>
      <c r="I662" s="1">
        <v>10</v>
      </c>
      <c r="J662" s="2">
        <v>898.83</v>
      </c>
      <c r="K662" s="2">
        <v>898.82995629000004</v>
      </c>
      <c r="L662" s="2">
        <v>644.07000000000005</v>
      </c>
      <c r="M662" s="2">
        <v>644.07000000000005</v>
      </c>
      <c r="N662" s="1" t="s">
        <v>45</v>
      </c>
      <c r="O662" s="2">
        <v>1.3955470000000001</v>
      </c>
      <c r="P662" s="3">
        <f t="shared" si="20"/>
        <v>644.07000000000005</v>
      </c>
      <c r="Q662" s="3" t="str">
        <f t="shared" si="21"/>
        <v>2908476432644.07</v>
      </c>
      <c r="R662" t="s">
        <v>91</v>
      </c>
      <c r="AB662" t="s">
        <v>1404</v>
      </c>
    </row>
    <row r="663" spans="1:28" hidden="1">
      <c r="A663" t="s">
        <v>29</v>
      </c>
      <c r="B663" s="1" t="s">
        <v>761</v>
      </c>
      <c r="C663" s="1" t="s">
        <v>69</v>
      </c>
      <c r="D663" s="1" t="s">
        <v>1441</v>
      </c>
      <c r="E663" s="1" t="s">
        <v>334</v>
      </c>
      <c r="F663" s="1" t="s">
        <v>335</v>
      </c>
      <c r="G663" s="1" t="s">
        <v>881</v>
      </c>
      <c r="H663" s="1" t="s">
        <v>1434</v>
      </c>
      <c r="I663" s="1">
        <v>10</v>
      </c>
      <c r="J663" s="2">
        <v>92.54</v>
      </c>
      <c r="K663" s="2">
        <v>92.538721570000007</v>
      </c>
      <c r="L663" s="2">
        <v>66.31</v>
      </c>
      <c r="M663" s="2">
        <v>66.31</v>
      </c>
      <c r="N663" s="1" t="s">
        <v>45</v>
      </c>
      <c r="O663" s="2">
        <v>1.3955470000000001</v>
      </c>
      <c r="P663" s="3">
        <f t="shared" si="20"/>
        <v>66.31</v>
      </c>
      <c r="Q663" s="3" t="str">
        <f t="shared" si="21"/>
        <v>290847643366.31</v>
      </c>
      <c r="R663" t="s">
        <v>91</v>
      </c>
      <c r="AB663" t="s">
        <v>1404</v>
      </c>
    </row>
    <row r="664" spans="1:28" hidden="1">
      <c r="A664" t="s">
        <v>29</v>
      </c>
      <c r="B664" s="1" t="s">
        <v>761</v>
      </c>
      <c r="C664" s="1" t="s">
        <v>69</v>
      </c>
      <c r="D664" s="1" t="s">
        <v>1442</v>
      </c>
      <c r="E664" s="1" t="s">
        <v>334</v>
      </c>
      <c r="F664" s="1" t="s">
        <v>335</v>
      </c>
      <c r="G664" s="1" t="s">
        <v>533</v>
      </c>
      <c r="H664" s="1" t="s">
        <v>1434</v>
      </c>
      <c r="I664" s="1">
        <v>10</v>
      </c>
      <c r="J664" s="2">
        <v>100.09</v>
      </c>
      <c r="K664" s="2">
        <v>100.08863083999999</v>
      </c>
      <c r="L664" s="2">
        <v>71.72</v>
      </c>
      <c r="M664" s="2">
        <v>71.72</v>
      </c>
      <c r="N664" s="1" t="s">
        <v>45</v>
      </c>
      <c r="O664" s="2">
        <v>1.3955470000000001</v>
      </c>
      <c r="P664" s="3">
        <f t="shared" si="20"/>
        <v>71.72</v>
      </c>
      <c r="Q664" s="3" t="str">
        <f t="shared" si="21"/>
        <v>290847650071.72</v>
      </c>
      <c r="R664" t="s">
        <v>91</v>
      </c>
      <c r="AB664" t="s">
        <v>1404</v>
      </c>
    </row>
    <row r="665" spans="1:28" hidden="1">
      <c r="A665" t="s">
        <v>29</v>
      </c>
      <c r="B665" s="1" t="s">
        <v>761</v>
      </c>
      <c r="C665" s="1" t="s">
        <v>69</v>
      </c>
      <c r="D665" s="1" t="s">
        <v>1443</v>
      </c>
      <c r="E665" s="1" t="s">
        <v>334</v>
      </c>
      <c r="F665" s="1" t="s">
        <v>335</v>
      </c>
      <c r="G665" s="1" t="s">
        <v>1118</v>
      </c>
      <c r="H665" s="1" t="s">
        <v>1434</v>
      </c>
      <c r="I665" s="1">
        <v>10</v>
      </c>
      <c r="J665" s="2">
        <v>60.83</v>
      </c>
      <c r="K665" s="2">
        <v>60.831893729999997</v>
      </c>
      <c r="L665" s="2">
        <v>43.59</v>
      </c>
      <c r="M665" s="2">
        <v>43.59</v>
      </c>
      <c r="N665" s="1" t="s">
        <v>45</v>
      </c>
      <c r="O665" s="2">
        <v>1.3955470000000001</v>
      </c>
      <c r="P665" s="3">
        <f t="shared" si="20"/>
        <v>43.59</v>
      </c>
      <c r="Q665" s="3" t="str">
        <f t="shared" si="21"/>
        <v>290847676643.59</v>
      </c>
      <c r="R665" t="s">
        <v>91</v>
      </c>
      <c r="AB665" t="s">
        <v>1404</v>
      </c>
    </row>
    <row r="666" spans="1:28" hidden="1">
      <c r="A666" t="s">
        <v>29</v>
      </c>
      <c r="B666" s="1" t="s">
        <v>761</v>
      </c>
      <c r="C666" s="1" t="s">
        <v>69</v>
      </c>
      <c r="D666" s="1" t="s">
        <v>1444</v>
      </c>
      <c r="E666" s="1" t="s">
        <v>334</v>
      </c>
      <c r="F666" s="1" t="s">
        <v>335</v>
      </c>
      <c r="G666" s="1" t="s">
        <v>877</v>
      </c>
      <c r="H666" s="1" t="s">
        <v>1434</v>
      </c>
      <c r="I666" s="1">
        <v>10</v>
      </c>
      <c r="J666" s="2">
        <v>91.09</v>
      </c>
      <c r="K666" s="2">
        <v>91.087352690000003</v>
      </c>
      <c r="L666" s="2">
        <v>65.27</v>
      </c>
      <c r="M666" s="2">
        <v>65.27</v>
      </c>
      <c r="N666" s="1" t="s">
        <v>45</v>
      </c>
      <c r="O666" s="2">
        <v>1.3955470000000001</v>
      </c>
      <c r="P666" s="3">
        <f t="shared" si="20"/>
        <v>65.27</v>
      </c>
      <c r="Q666" s="3" t="str">
        <f t="shared" si="21"/>
        <v>290847774765.27</v>
      </c>
      <c r="R666" t="s">
        <v>91</v>
      </c>
      <c r="AB666" t="s">
        <v>1404</v>
      </c>
    </row>
    <row r="667" spans="1:28" hidden="1">
      <c r="A667" t="s">
        <v>29</v>
      </c>
      <c r="B667" s="1" t="s">
        <v>761</v>
      </c>
      <c r="C667" s="1" t="s">
        <v>69</v>
      </c>
      <c r="D667" s="1" t="s">
        <v>1445</v>
      </c>
      <c r="E667" s="1" t="s">
        <v>128</v>
      </c>
      <c r="F667" s="1" t="s">
        <v>129</v>
      </c>
      <c r="G667" s="1" t="s">
        <v>1446</v>
      </c>
      <c r="H667" s="1" t="s">
        <v>1434</v>
      </c>
      <c r="I667" s="1">
        <v>10</v>
      </c>
      <c r="J667" s="2">
        <v>76548.929999999993</v>
      </c>
      <c r="K667" s="2">
        <v>76548.934797159993</v>
      </c>
      <c r="L667" s="2">
        <v>54852.28</v>
      </c>
      <c r="M667" s="2">
        <v>54852.28</v>
      </c>
      <c r="N667" s="1" t="s">
        <v>45</v>
      </c>
      <c r="O667" s="2">
        <v>1.3955470000000001</v>
      </c>
      <c r="P667" s="3">
        <f t="shared" si="20"/>
        <v>54852.28</v>
      </c>
      <c r="Q667" s="3" t="str">
        <f t="shared" si="21"/>
        <v>7052120354852.28</v>
      </c>
      <c r="AB667" t="s">
        <v>1404</v>
      </c>
    </row>
    <row r="668" spans="1:28" hidden="1">
      <c r="A668" t="s">
        <v>29</v>
      </c>
      <c r="B668" s="1" t="s">
        <v>761</v>
      </c>
      <c r="C668" s="1" t="s">
        <v>69</v>
      </c>
      <c r="D668" s="1" t="s">
        <v>1447</v>
      </c>
      <c r="E668" s="1" t="s">
        <v>71</v>
      </c>
      <c r="F668" s="1" t="s">
        <v>72</v>
      </c>
      <c r="G668" s="1" t="s">
        <v>1239</v>
      </c>
      <c r="H668" s="1" t="s">
        <v>1434</v>
      </c>
      <c r="I668" s="1">
        <v>10</v>
      </c>
      <c r="J668" s="2">
        <v>1237898.1299999999</v>
      </c>
      <c r="K668" s="2">
        <v>1237898.1260394501</v>
      </c>
      <c r="L668" s="2">
        <v>887034.35</v>
      </c>
      <c r="M668" s="2">
        <v>887034.35</v>
      </c>
      <c r="N668" s="1" t="s">
        <v>45</v>
      </c>
      <c r="O668" s="2">
        <v>1.3955470000000001</v>
      </c>
      <c r="P668" s="3">
        <f t="shared" si="20"/>
        <v>887034.35</v>
      </c>
      <c r="Q668" s="3" t="str">
        <f t="shared" si="21"/>
        <v>91909218887034.35</v>
      </c>
      <c r="R668" t="s">
        <v>74</v>
      </c>
      <c r="S668" t="s">
        <v>60</v>
      </c>
      <c r="T668" t="s">
        <v>102</v>
      </c>
      <c r="AB668" t="s">
        <v>1404</v>
      </c>
    </row>
    <row r="669" spans="1:28" hidden="1">
      <c r="A669" t="s">
        <v>29</v>
      </c>
      <c r="B669" s="1" t="s">
        <v>761</v>
      </c>
      <c r="C669" s="1" t="s">
        <v>69</v>
      </c>
      <c r="D669" s="1" t="s">
        <v>1448</v>
      </c>
      <c r="E669" s="1" t="s">
        <v>584</v>
      </c>
      <c r="F669" s="1" t="s">
        <v>585</v>
      </c>
      <c r="G669" s="1" t="s">
        <v>752</v>
      </c>
      <c r="H669" s="1" t="s">
        <v>1434</v>
      </c>
      <c r="I669" s="1">
        <v>10</v>
      </c>
      <c r="J669" s="2">
        <v>97.41</v>
      </c>
      <c r="K669" s="2">
        <v>97.41</v>
      </c>
      <c r="L669" s="2">
        <v>97.41</v>
      </c>
      <c r="M669" s="2">
        <v>97.41</v>
      </c>
      <c r="N669" s="1" t="s">
        <v>36</v>
      </c>
      <c r="O669" s="2">
        <v>1</v>
      </c>
      <c r="P669" s="3">
        <f t="shared" si="20"/>
        <v>73.057500000000005</v>
      </c>
      <c r="Q669" s="3" t="str">
        <f t="shared" si="21"/>
        <v>779096397.41</v>
      </c>
      <c r="AB669" t="s">
        <v>1404</v>
      </c>
    </row>
    <row r="670" spans="1:28" hidden="1">
      <c r="A670" t="s">
        <v>29</v>
      </c>
      <c r="B670" s="1" t="s">
        <v>1072</v>
      </c>
      <c r="C670" s="1" t="s">
        <v>69</v>
      </c>
      <c r="D670" s="1" t="s">
        <v>1449</v>
      </c>
      <c r="E670" s="1" t="s">
        <v>156</v>
      </c>
      <c r="F670" s="1" t="s">
        <v>156</v>
      </c>
      <c r="G670" s="1" t="s">
        <v>865</v>
      </c>
      <c r="H670" s="1" t="s">
        <v>1434</v>
      </c>
      <c r="I670" s="1">
        <v>10</v>
      </c>
      <c r="J670" s="2">
        <v>2454.46</v>
      </c>
      <c r="K670" s="2">
        <v>2454.46</v>
      </c>
      <c r="L670" s="2">
        <v>2454.46</v>
      </c>
      <c r="M670" s="2">
        <v>2454.46</v>
      </c>
      <c r="N670" s="1" t="s">
        <v>36</v>
      </c>
      <c r="O670" s="2">
        <v>1</v>
      </c>
      <c r="P670" s="3">
        <f t="shared" si="20"/>
        <v>1840.845</v>
      </c>
      <c r="Q670" s="3" t="str">
        <f t="shared" si="21"/>
        <v>2-704-543832454.46</v>
      </c>
      <c r="AB670" t="s">
        <v>1404</v>
      </c>
    </row>
    <row r="671" spans="1:28" hidden="1">
      <c r="A671" t="s">
        <v>29</v>
      </c>
      <c r="B671" s="1" t="s">
        <v>761</v>
      </c>
      <c r="C671" s="1" t="s">
        <v>69</v>
      </c>
      <c r="D671" s="1" t="s">
        <v>1450</v>
      </c>
      <c r="E671" s="1" t="s">
        <v>88</v>
      </c>
      <c r="F671" s="1" t="s">
        <v>89</v>
      </c>
      <c r="G671" s="1" t="s">
        <v>1451</v>
      </c>
      <c r="H671" s="1" t="s">
        <v>1452</v>
      </c>
      <c r="I671" s="1">
        <v>9</v>
      </c>
      <c r="J671" s="2">
        <v>15071.91</v>
      </c>
      <c r="K671" s="2">
        <v>15071.9076</v>
      </c>
      <c r="L671" s="2">
        <v>10800</v>
      </c>
      <c r="M671" s="2">
        <v>10800</v>
      </c>
      <c r="N671" s="1" t="s">
        <v>45</v>
      </c>
      <c r="O671" s="2">
        <v>1.3955470000000001</v>
      </c>
      <c r="P671" s="3">
        <f t="shared" si="20"/>
        <v>10800</v>
      </c>
      <c r="Q671" s="3" t="str">
        <f t="shared" si="21"/>
        <v>1011210800</v>
      </c>
      <c r="R671" t="s">
        <v>91</v>
      </c>
      <c r="AB671" t="s">
        <v>1404</v>
      </c>
    </row>
    <row r="672" spans="1:28" hidden="1">
      <c r="A672" t="s">
        <v>29</v>
      </c>
      <c r="B672" s="1" t="s">
        <v>761</v>
      </c>
      <c r="C672" s="1" t="s">
        <v>69</v>
      </c>
      <c r="D672" s="1" t="s">
        <v>1453</v>
      </c>
      <c r="E672" s="1" t="s">
        <v>88</v>
      </c>
      <c r="F672" s="1" t="s">
        <v>89</v>
      </c>
      <c r="G672" s="1" t="s">
        <v>1454</v>
      </c>
      <c r="H672" s="1" t="s">
        <v>1452</v>
      </c>
      <c r="I672" s="1">
        <v>9</v>
      </c>
      <c r="J672" s="2">
        <v>11513.26</v>
      </c>
      <c r="K672" s="2">
        <v>11513.26275</v>
      </c>
      <c r="L672" s="2">
        <v>8250</v>
      </c>
      <c r="M672" s="2">
        <v>8250</v>
      </c>
      <c r="N672" s="1" t="s">
        <v>45</v>
      </c>
      <c r="O672" s="2">
        <v>1.3955470000000001</v>
      </c>
      <c r="P672" s="3">
        <f t="shared" si="20"/>
        <v>8250</v>
      </c>
      <c r="Q672" s="3" t="str">
        <f t="shared" si="21"/>
        <v>101138250</v>
      </c>
      <c r="R672" t="s">
        <v>91</v>
      </c>
      <c r="AB672" t="s">
        <v>1404</v>
      </c>
    </row>
    <row r="673" spans="1:28" hidden="1">
      <c r="A673" t="s">
        <v>29</v>
      </c>
      <c r="B673" s="1" t="s">
        <v>761</v>
      </c>
      <c r="C673" s="1" t="s">
        <v>69</v>
      </c>
      <c r="D673" s="1" t="s">
        <v>1455</v>
      </c>
      <c r="E673" s="1" t="s">
        <v>88</v>
      </c>
      <c r="F673" s="1" t="s">
        <v>89</v>
      </c>
      <c r="G673" s="1" t="s">
        <v>1456</v>
      </c>
      <c r="H673" s="1" t="s">
        <v>1452</v>
      </c>
      <c r="I673" s="1">
        <v>9</v>
      </c>
      <c r="J673" s="2">
        <v>8373.2800000000007</v>
      </c>
      <c r="K673" s="2">
        <v>8373.2819999999992</v>
      </c>
      <c r="L673" s="2">
        <v>6000</v>
      </c>
      <c r="M673" s="2">
        <v>6000</v>
      </c>
      <c r="N673" s="1" t="s">
        <v>45</v>
      </c>
      <c r="O673" s="2">
        <v>1.3955470000000001</v>
      </c>
      <c r="P673" s="3">
        <f t="shared" si="20"/>
        <v>6000</v>
      </c>
      <c r="Q673" s="3" t="str">
        <f t="shared" si="21"/>
        <v>101146000</v>
      </c>
      <c r="R673" t="s">
        <v>91</v>
      </c>
      <c r="AB673" t="s">
        <v>1404</v>
      </c>
    </row>
    <row r="674" spans="1:28" hidden="1">
      <c r="A674" t="s">
        <v>29</v>
      </c>
      <c r="B674" s="1" t="s">
        <v>780</v>
      </c>
      <c r="C674" s="1" t="s">
        <v>69</v>
      </c>
      <c r="D674" s="1" t="s">
        <v>1457</v>
      </c>
      <c r="E674" s="1" t="s">
        <v>71</v>
      </c>
      <c r="F674" s="1" t="s">
        <v>72</v>
      </c>
      <c r="G674" s="1" t="s">
        <v>1458</v>
      </c>
      <c r="H674" s="1" t="s">
        <v>1452</v>
      </c>
      <c r="I674" s="1">
        <v>9</v>
      </c>
      <c r="J674" s="2">
        <v>42503.28</v>
      </c>
      <c r="K674" s="2">
        <v>42503.277600000001</v>
      </c>
      <c r="L674" s="2">
        <v>30736</v>
      </c>
      <c r="M674" s="2">
        <v>30736</v>
      </c>
      <c r="N674" s="1" t="s">
        <v>45</v>
      </c>
      <c r="O674" s="2">
        <v>1.3828499999999999</v>
      </c>
      <c r="P674" s="3">
        <f t="shared" si="20"/>
        <v>30736</v>
      </c>
      <c r="Q674" s="3" t="str">
        <f t="shared" si="21"/>
        <v>9190922330736</v>
      </c>
      <c r="R674" t="s">
        <v>1459</v>
      </c>
      <c r="AB674" t="s">
        <v>1404</v>
      </c>
    </row>
    <row r="675" spans="1:28" hidden="1">
      <c r="A675" t="s">
        <v>29</v>
      </c>
      <c r="B675" s="1" t="s">
        <v>780</v>
      </c>
      <c r="C675" s="1" t="s">
        <v>69</v>
      </c>
      <c r="D675" s="1" t="s">
        <v>1460</v>
      </c>
      <c r="E675" s="1" t="s">
        <v>392</v>
      </c>
      <c r="F675" s="1" t="s">
        <v>393</v>
      </c>
      <c r="G675" s="1" t="s">
        <v>1281</v>
      </c>
      <c r="H675" s="1" t="s">
        <v>1452</v>
      </c>
      <c r="I675" s="1">
        <v>9</v>
      </c>
      <c r="J675" s="2">
        <v>16272</v>
      </c>
      <c r="K675" s="2">
        <v>16272</v>
      </c>
      <c r="L675" s="2">
        <v>16272</v>
      </c>
      <c r="M675" s="2">
        <v>16272</v>
      </c>
      <c r="N675" s="1" t="s">
        <v>36</v>
      </c>
      <c r="O675" s="2">
        <v>1</v>
      </c>
      <c r="P675" s="3">
        <f t="shared" si="20"/>
        <v>12204</v>
      </c>
      <c r="Q675" s="3" t="str">
        <f t="shared" si="21"/>
        <v>000210716272</v>
      </c>
      <c r="R675" t="s">
        <v>395</v>
      </c>
      <c r="AB675" t="s">
        <v>1404</v>
      </c>
    </row>
    <row r="676" spans="1:28" hidden="1">
      <c r="A676" t="s">
        <v>29</v>
      </c>
      <c r="B676" s="1" t="s">
        <v>780</v>
      </c>
      <c r="C676" s="1" t="s">
        <v>69</v>
      </c>
      <c r="D676" s="1" t="s">
        <v>1461</v>
      </c>
      <c r="E676" s="1" t="s">
        <v>392</v>
      </c>
      <c r="F676" s="1" t="s">
        <v>393</v>
      </c>
      <c r="G676" s="1" t="s">
        <v>1281</v>
      </c>
      <c r="H676" s="1" t="s">
        <v>1452</v>
      </c>
      <c r="I676" s="1">
        <v>9</v>
      </c>
      <c r="J676" s="2">
        <v>18080</v>
      </c>
      <c r="K676" s="2">
        <v>18080</v>
      </c>
      <c r="L676" s="2">
        <v>18080</v>
      </c>
      <c r="M676" s="2">
        <v>18080</v>
      </c>
      <c r="N676" s="1" t="s">
        <v>36</v>
      </c>
      <c r="O676" s="2">
        <v>1</v>
      </c>
      <c r="P676" s="3">
        <f t="shared" si="20"/>
        <v>13560</v>
      </c>
      <c r="Q676" s="3" t="str">
        <f t="shared" si="21"/>
        <v>000210418080</v>
      </c>
      <c r="R676" t="s">
        <v>395</v>
      </c>
      <c r="AB676" t="s">
        <v>1404</v>
      </c>
    </row>
    <row r="677" spans="1:28" hidden="1">
      <c r="A677" t="s">
        <v>29</v>
      </c>
      <c r="B677" s="1" t="s">
        <v>780</v>
      </c>
      <c r="C677" s="1" t="s">
        <v>69</v>
      </c>
      <c r="D677" s="1" t="s">
        <v>1462</v>
      </c>
      <c r="E677" s="1" t="s">
        <v>584</v>
      </c>
      <c r="F677" s="1" t="s">
        <v>585</v>
      </c>
      <c r="G677" s="1" t="s">
        <v>752</v>
      </c>
      <c r="H677" s="1" t="s">
        <v>1452</v>
      </c>
      <c r="I677" s="1">
        <v>9</v>
      </c>
      <c r="J677" s="2">
        <v>178.99</v>
      </c>
      <c r="K677" s="2">
        <v>178.99</v>
      </c>
      <c r="L677" s="2">
        <v>178.99</v>
      </c>
      <c r="M677" s="2">
        <v>178.99</v>
      </c>
      <c r="N677" s="1" t="s">
        <v>36</v>
      </c>
      <c r="O677" s="2">
        <v>1</v>
      </c>
      <c r="P677" s="3">
        <f t="shared" si="20"/>
        <v>134.24250000000001</v>
      </c>
      <c r="Q677" s="3" t="str">
        <f t="shared" si="21"/>
        <v>7795797178.99</v>
      </c>
      <c r="R677" t="s">
        <v>758</v>
      </c>
      <c r="S677" t="s">
        <v>60</v>
      </c>
      <c r="AB677" t="s">
        <v>1404</v>
      </c>
    </row>
    <row r="678" spans="1:28" hidden="1">
      <c r="A678" t="s">
        <v>29</v>
      </c>
      <c r="B678" s="1" t="s">
        <v>780</v>
      </c>
      <c r="C678" s="1" t="s">
        <v>69</v>
      </c>
      <c r="D678" s="1" t="s">
        <v>1463</v>
      </c>
      <c r="E678" s="1" t="s">
        <v>584</v>
      </c>
      <c r="F678" s="1" t="s">
        <v>585</v>
      </c>
      <c r="G678" s="1" t="s">
        <v>752</v>
      </c>
      <c r="H678" s="1" t="s">
        <v>1452</v>
      </c>
      <c r="I678" s="1">
        <v>9</v>
      </c>
      <c r="J678" s="2">
        <v>192.1</v>
      </c>
      <c r="K678" s="2">
        <v>192.1</v>
      </c>
      <c r="L678" s="2">
        <v>192.1</v>
      </c>
      <c r="M678" s="2">
        <v>192.1</v>
      </c>
      <c r="N678" s="1" t="s">
        <v>36</v>
      </c>
      <c r="O678" s="2">
        <v>1</v>
      </c>
      <c r="P678" s="3">
        <f t="shared" si="20"/>
        <v>144.07499999999999</v>
      </c>
      <c r="Q678" s="3" t="str">
        <f t="shared" si="21"/>
        <v>7795545192.1</v>
      </c>
      <c r="R678" t="s">
        <v>758</v>
      </c>
      <c r="S678" t="s">
        <v>60</v>
      </c>
      <c r="AB678" t="s">
        <v>1404</v>
      </c>
    </row>
    <row r="679" spans="1:28" hidden="1">
      <c r="A679" t="s">
        <v>29</v>
      </c>
      <c r="B679" s="1" t="s">
        <v>780</v>
      </c>
      <c r="C679" s="1" t="s">
        <v>69</v>
      </c>
      <c r="D679" s="1" t="s">
        <v>1464</v>
      </c>
      <c r="E679" s="1" t="s">
        <v>584</v>
      </c>
      <c r="F679" s="1" t="s">
        <v>585</v>
      </c>
      <c r="G679" s="1" t="s">
        <v>752</v>
      </c>
      <c r="H679" s="1" t="s">
        <v>1452</v>
      </c>
      <c r="I679" s="1">
        <v>9</v>
      </c>
      <c r="J679" s="2">
        <v>98.54</v>
      </c>
      <c r="K679" s="2">
        <v>98.54</v>
      </c>
      <c r="L679" s="2">
        <v>98.54</v>
      </c>
      <c r="M679" s="2">
        <v>98.54</v>
      </c>
      <c r="N679" s="1" t="s">
        <v>36</v>
      </c>
      <c r="O679" s="2">
        <v>1</v>
      </c>
      <c r="P679" s="3">
        <f t="shared" si="20"/>
        <v>73.905000000000001</v>
      </c>
      <c r="Q679" s="3" t="str">
        <f t="shared" si="21"/>
        <v>779549998.54</v>
      </c>
      <c r="R679" t="s">
        <v>758</v>
      </c>
      <c r="S679" t="s">
        <v>60</v>
      </c>
      <c r="AB679" t="s">
        <v>1404</v>
      </c>
    </row>
    <row r="680" spans="1:28" hidden="1">
      <c r="A680" t="s">
        <v>29</v>
      </c>
      <c r="B680" s="1" t="s">
        <v>780</v>
      </c>
      <c r="C680" s="1" t="s">
        <v>69</v>
      </c>
      <c r="D680" s="1" t="s">
        <v>1465</v>
      </c>
      <c r="E680" s="1" t="s">
        <v>584</v>
      </c>
      <c r="F680" s="1" t="s">
        <v>585</v>
      </c>
      <c r="G680" s="1" t="s">
        <v>752</v>
      </c>
      <c r="H680" s="1" t="s">
        <v>1452</v>
      </c>
      <c r="I680" s="1">
        <v>9</v>
      </c>
      <c r="J680" s="2">
        <v>155.43</v>
      </c>
      <c r="K680" s="2">
        <v>155.43</v>
      </c>
      <c r="L680" s="2">
        <v>155.43</v>
      </c>
      <c r="M680" s="2">
        <v>155.43</v>
      </c>
      <c r="N680" s="1" t="s">
        <v>36</v>
      </c>
      <c r="O680" s="2">
        <v>1</v>
      </c>
      <c r="P680" s="3">
        <f t="shared" si="20"/>
        <v>116.57250000000001</v>
      </c>
      <c r="Q680" s="3" t="str">
        <f t="shared" si="21"/>
        <v>7795667155.43</v>
      </c>
      <c r="R680" t="s">
        <v>758</v>
      </c>
      <c r="S680" t="s">
        <v>60</v>
      </c>
      <c r="AB680" t="s">
        <v>1404</v>
      </c>
    </row>
    <row r="681" spans="1:28" hidden="1">
      <c r="A681" t="s">
        <v>29</v>
      </c>
      <c r="B681" s="1" t="s">
        <v>780</v>
      </c>
      <c r="C681" s="1" t="s">
        <v>69</v>
      </c>
      <c r="D681" s="1" t="s">
        <v>1466</v>
      </c>
      <c r="E681" s="1" t="s">
        <v>584</v>
      </c>
      <c r="F681" s="1" t="s">
        <v>585</v>
      </c>
      <c r="G681" s="1" t="s">
        <v>752</v>
      </c>
      <c r="H681" s="1" t="s">
        <v>1452</v>
      </c>
      <c r="I681" s="1">
        <v>9</v>
      </c>
      <c r="J681" s="2">
        <v>201.03</v>
      </c>
      <c r="K681" s="2">
        <v>201.03</v>
      </c>
      <c r="L681" s="2">
        <v>201.03</v>
      </c>
      <c r="M681" s="2">
        <v>201.03</v>
      </c>
      <c r="N681" s="1" t="s">
        <v>36</v>
      </c>
      <c r="O681" s="2">
        <v>1</v>
      </c>
      <c r="P681" s="3">
        <f t="shared" si="20"/>
        <v>150.77250000000001</v>
      </c>
      <c r="Q681" s="3" t="str">
        <f t="shared" si="21"/>
        <v>7796292201.03</v>
      </c>
      <c r="R681" t="s">
        <v>758</v>
      </c>
      <c r="S681" t="s">
        <v>60</v>
      </c>
      <c r="AB681" t="s">
        <v>1404</v>
      </c>
    </row>
    <row r="682" spans="1:28" hidden="1">
      <c r="A682" t="s">
        <v>29</v>
      </c>
      <c r="B682" s="1" t="s">
        <v>780</v>
      </c>
      <c r="C682" s="1" t="s">
        <v>69</v>
      </c>
      <c r="D682" s="1" t="s">
        <v>1467</v>
      </c>
      <c r="E682" s="1" t="s">
        <v>71</v>
      </c>
      <c r="F682" s="1" t="s">
        <v>72</v>
      </c>
      <c r="G682" s="1" t="s">
        <v>1468</v>
      </c>
      <c r="H682" s="1" t="s">
        <v>1452</v>
      </c>
      <c r="I682" s="1">
        <v>9</v>
      </c>
      <c r="J682" s="2">
        <v>39378.04</v>
      </c>
      <c r="K682" s="2">
        <v>39378.036599999999</v>
      </c>
      <c r="L682" s="2">
        <v>28476</v>
      </c>
      <c r="M682" s="2">
        <v>28476</v>
      </c>
      <c r="N682" s="1" t="s">
        <v>45</v>
      </c>
      <c r="O682" s="2">
        <v>1.3828499999999999</v>
      </c>
      <c r="P682" s="3">
        <f t="shared" si="20"/>
        <v>28476</v>
      </c>
      <c r="Q682" s="3" t="str">
        <f t="shared" si="21"/>
        <v>9190922228476</v>
      </c>
      <c r="R682" t="s">
        <v>214</v>
      </c>
      <c r="S682" t="s">
        <v>155</v>
      </c>
      <c r="T682" t="s">
        <v>102</v>
      </c>
      <c r="AB682" t="s">
        <v>1404</v>
      </c>
    </row>
    <row r="683" spans="1:28" hidden="1">
      <c r="A683" t="s">
        <v>29</v>
      </c>
      <c r="B683" s="1" t="s">
        <v>780</v>
      </c>
      <c r="C683" s="1" t="s">
        <v>69</v>
      </c>
      <c r="D683" s="1" t="s">
        <v>1469</v>
      </c>
      <c r="E683" s="1" t="s">
        <v>334</v>
      </c>
      <c r="F683" s="1" t="s">
        <v>335</v>
      </c>
      <c r="G683" s="1" t="s">
        <v>1470</v>
      </c>
      <c r="H683" s="1" t="s">
        <v>1452</v>
      </c>
      <c r="I683" s="1">
        <v>9</v>
      </c>
      <c r="J683" s="2">
        <v>238.4</v>
      </c>
      <c r="K683" s="2">
        <v>238.40333999999999</v>
      </c>
      <c r="L683" s="2">
        <v>172.4</v>
      </c>
      <c r="M683" s="2">
        <v>172.4</v>
      </c>
      <c r="N683" s="1" t="s">
        <v>45</v>
      </c>
      <c r="O683" s="2">
        <v>1.3828499999999999</v>
      </c>
      <c r="P683" s="3">
        <f t="shared" si="20"/>
        <v>172.4</v>
      </c>
      <c r="Q683" s="3" t="str">
        <f t="shared" si="21"/>
        <v>2908480006172.4</v>
      </c>
      <c r="R683" t="s">
        <v>91</v>
      </c>
      <c r="AB683" t="s">
        <v>1404</v>
      </c>
    </row>
    <row r="684" spans="1:28" hidden="1">
      <c r="A684" t="s">
        <v>29</v>
      </c>
      <c r="B684" s="1" t="s">
        <v>780</v>
      </c>
      <c r="C684" s="1" t="s">
        <v>69</v>
      </c>
      <c r="D684" s="1" t="s">
        <v>1471</v>
      </c>
      <c r="E684" s="1" t="s">
        <v>334</v>
      </c>
      <c r="F684" s="1" t="s">
        <v>335</v>
      </c>
      <c r="G684" s="1" t="s">
        <v>958</v>
      </c>
      <c r="H684" s="1" t="s">
        <v>1452</v>
      </c>
      <c r="I684" s="1">
        <v>9</v>
      </c>
      <c r="J684" s="2">
        <v>4094.62</v>
      </c>
      <c r="K684" s="2">
        <v>4094.6188499999998</v>
      </c>
      <c r="L684" s="2">
        <v>2961</v>
      </c>
      <c r="M684" s="2">
        <v>2961</v>
      </c>
      <c r="N684" s="1" t="s">
        <v>45</v>
      </c>
      <c r="O684" s="2">
        <v>1.3828499999999999</v>
      </c>
      <c r="P684" s="3">
        <f t="shared" si="20"/>
        <v>2961</v>
      </c>
      <c r="Q684" s="3" t="str">
        <f t="shared" si="21"/>
        <v>29084785152961</v>
      </c>
      <c r="R684" t="s">
        <v>91</v>
      </c>
      <c r="AB684" t="s">
        <v>1404</v>
      </c>
    </row>
    <row r="685" spans="1:28" hidden="1">
      <c r="A685" t="s">
        <v>29</v>
      </c>
      <c r="B685" s="1" t="s">
        <v>780</v>
      </c>
      <c r="C685" s="1" t="s">
        <v>69</v>
      </c>
      <c r="D685" s="1" t="s">
        <v>1472</v>
      </c>
      <c r="E685" s="1" t="s">
        <v>334</v>
      </c>
      <c r="F685" s="1" t="s">
        <v>335</v>
      </c>
      <c r="G685" s="1" t="s">
        <v>1289</v>
      </c>
      <c r="H685" s="1" t="s">
        <v>1452</v>
      </c>
      <c r="I685" s="1">
        <v>9</v>
      </c>
      <c r="J685" s="2">
        <v>625.63</v>
      </c>
      <c r="K685" s="2">
        <v>625.62899700000003</v>
      </c>
      <c r="L685" s="2">
        <v>452.42</v>
      </c>
      <c r="M685" s="2">
        <v>452.42</v>
      </c>
      <c r="N685" s="1" t="s">
        <v>45</v>
      </c>
      <c r="O685" s="2">
        <v>1.3828499999999999</v>
      </c>
      <c r="P685" s="3">
        <f t="shared" si="20"/>
        <v>452.42</v>
      </c>
      <c r="Q685" s="3" t="str">
        <f t="shared" si="21"/>
        <v>2908478522452.42</v>
      </c>
      <c r="R685" t="s">
        <v>91</v>
      </c>
      <c r="AB685" t="s">
        <v>1404</v>
      </c>
    </row>
    <row r="686" spans="1:28" hidden="1">
      <c r="A686" t="s">
        <v>29</v>
      </c>
      <c r="B686" s="1" t="s">
        <v>780</v>
      </c>
      <c r="C686" s="1" t="s">
        <v>69</v>
      </c>
      <c r="D686" s="1" t="s">
        <v>1473</v>
      </c>
      <c r="E686" s="1" t="s">
        <v>334</v>
      </c>
      <c r="F686" s="1" t="s">
        <v>335</v>
      </c>
      <c r="G686" s="1" t="s">
        <v>954</v>
      </c>
      <c r="H686" s="1" t="s">
        <v>1452</v>
      </c>
      <c r="I686" s="1">
        <v>9</v>
      </c>
      <c r="J686" s="2">
        <v>16.53</v>
      </c>
      <c r="K686" s="2">
        <v>16.525057499999999</v>
      </c>
      <c r="L686" s="2">
        <v>11.95</v>
      </c>
      <c r="M686" s="2">
        <v>11.95</v>
      </c>
      <c r="N686" s="1" t="s">
        <v>45</v>
      </c>
      <c r="O686" s="2">
        <v>1.3828499999999999</v>
      </c>
      <c r="P686" s="3">
        <f t="shared" si="20"/>
        <v>11.95</v>
      </c>
      <c r="Q686" s="3" t="str">
        <f t="shared" si="21"/>
        <v>290847870911.95</v>
      </c>
      <c r="R686" t="s">
        <v>91</v>
      </c>
      <c r="AB686" t="s">
        <v>1404</v>
      </c>
    </row>
    <row r="687" spans="1:28" hidden="1">
      <c r="A687" t="s">
        <v>29</v>
      </c>
      <c r="B687" s="1" t="s">
        <v>780</v>
      </c>
      <c r="C687" s="1" t="s">
        <v>69</v>
      </c>
      <c r="D687" s="1" t="s">
        <v>1474</v>
      </c>
      <c r="E687" s="1" t="s">
        <v>334</v>
      </c>
      <c r="F687" s="1" t="s">
        <v>335</v>
      </c>
      <c r="G687" s="1" t="s">
        <v>954</v>
      </c>
      <c r="H687" s="1" t="s">
        <v>1452</v>
      </c>
      <c r="I687" s="1">
        <v>9</v>
      </c>
      <c r="J687" s="2">
        <v>219.51</v>
      </c>
      <c r="K687" s="2">
        <v>219.513609</v>
      </c>
      <c r="L687" s="2">
        <v>158.74</v>
      </c>
      <c r="M687" s="2">
        <v>158.74</v>
      </c>
      <c r="N687" s="1" t="s">
        <v>45</v>
      </c>
      <c r="O687" s="2">
        <v>1.3828499999999999</v>
      </c>
      <c r="P687" s="3">
        <f t="shared" si="20"/>
        <v>158.74</v>
      </c>
      <c r="Q687" s="3" t="str">
        <f t="shared" si="21"/>
        <v>2908478716158.74</v>
      </c>
      <c r="R687" t="s">
        <v>91</v>
      </c>
      <c r="AB687" t="s">
        <v>1404</v>
      </c>
    </row>
    <row r="688" spans="1:28" hidden="1">
      <c r="A688" t="s">
        <v>29</v>
      </c>
      <c r="B688" s="1" t="s">
        <v>780</v>
      </c>
      <c r="C688" s="1" t="s">
        <v>69</v>
      </c>
      <c r="D688" s="1" t="s">
        <v>1475</v>
      </c>
      <c r="E688" s="1" t="s">
        <v>334</v>
      </c>
      <c r="F688" s="1" t="s">
        <v>335</v>
      </c>
      <c r="G688" s="1" t="s">
        <v>1476</v>
      </c>
      <c r="H688" s="1" t="s">
        <v>1452</v>
      </c>
      <c r="I688" s="1">
        <v>9</v>
      </c>
      <c r="J688" s="2">
        <v>1226.5899999999999</v>
      </c>
      <c r="K688" s="2">
        <v>1226.5879500000001</v>
      </c>
      <c r="L688" s="2">
        <v>887</v>
      </c>
      <c r="M688" s="2">
        <v>887</v>
      </c>
      <c r="N688" s="1" t="s">
        <v>45</v>
      </c>
      <c r="O688" s="2">
        <v>1.3828499999999999</v>
      </c>
      <c r="P688" s="3">
        <f t="shared" si="20"/>
        <v>887</v>
      </c>
      <c r="Q688" s="3" t="str">
        <f t="shared" si="21"/>
        <v>2908479101887</v>
      </c>
      <c r="R688" t="s">
        <v>91</v>
      </c>
      <c r="AB688" t="s">
        <v>1404</v>
      </c>
    </row>
    <row r="689" spans="1:28" hidden="1">
      <c r="A689" t="s">
        <v>29</v>
      </c>
      <c r="B689" s="1" t="s">
        <v>780</v>
      </c>
      <c r="C689" s="1" t="s">
        <v>69</v>
      </c>
      <c r="D689" s="1" t="s">
        <v>1477</v>
      </c>
      <c r="E689" s="1" t="s">
        <v>334</v>
      </c>
      <c r="F689" s="1" t="s">
        <v>335</v>
      </c>
      <c r="G689" s="1" t="s">
        <v>1478</v>
      </c>
      <c r="H689" s="1" t="s">
        <v>1452</v>
      </c>
      <c r="I689" s="1">
        <v>9</v>
      </c>
      <c r="J689" s="2">
        <v>1556.73</v>
      </c>
      <c r="K689" s="2">
        <v>1556.7295590000001</v>
      </c>
      <c r="L689" s="2">
        <v>1125.74</v>
      </c>
      <c r="M689" s="2">
        <v>1125.74</v>
      </c>
      <c r="N689" s="1" t="s">
        <v>45</v>
      </c>
      <c r="O689" s="2">
        <v>1.3828499999999999</v>
      </c>
      <c r="P689" s="3">
        <f t="shared" si="20"/>
        <v>1125.74</v>
      </c>
      <c r="Q689" s="3" t="str">
        <f t="shared" si="21"/>
        <v>29084791041125.74</v>
      </c>
      <c r="R689" t="s">
        <v>91</v>
      </c>
      <c r="AB689" t="s">
        <v>1404</v>
      </c>
    </row>
    <row r="690" spans="1:28" hidden="1">
      <c r="A690" t="s">
        <v>29</v>
      </c>
      <c r="B690" s="1" t="s">
        <v>780</v>
      </c>
      <c r="C690" s="1" t="s">
        <v>69</v>
      </c>
      <c r="D690" s="1" t="s">
        <v>1479</v>
      </c>
      <c r="E690" s="1" t="s">
        <v>334</v>
      </c>
      <c r="F690" s="1" t="s">
        <v>335</v>
      </c>
      <c r="G690" s="1" t="s">
        <v>1258</v>
      </c>
      <c r="H690" s="1" t="s">
        <v>1452</v>
      </c>
      <c r="I690" s="1">
        <v>9</v>
      </c>
      <c r="J690" s="2">
        <v>4951.63</v>
      </c>
      <c r="K690" s="2">
        <v>4951.6263090000002</v>
      </c>
      <c r="L690" s="2">
        <v>3580.74</v>
      </c>
      <c r="M690" s="2">
        <v>3580.74</v>
      </c>
      <c r="N690" s="1" t="s">
        <v>45</v>
      </c>
      <c r="O690" s="2">
        <v>1.3828499999999999</v>
      </c>
      <c r="P690" s="3">
        <f t="shared" si="20"/>
        <v>3580.74</v>
      </c>
      <c r="Q690" s="3" t="str">
        <f t="shared" si="21"/>
        <v>29084792113580.74</v>
      </c>
      <c r="R690" t="s">
        <v>91</v>
      </c>
      <c r="AB690" t="s">
        <v>1404</v>
      </c>
    </row>
    <row r="691" spans="1:28" hidden="1">
      <c r="A691" t="s">
        <v>29</v>
      </c>
      <c r="B691" s="1" t="s">
        <v>780</v>
      </c>
      <c r="C691" s="1" t="s">
        <v>69</v>
      </c>
      <c r="D691" s="1" t="s">
        <v>1480</v>
      </c>
      <c r="E691" s="1" t="s">
        <v>334</v>
      </c>
      <c r="F691" s="1" t="s">
        <v>335</v>
      </c>
      <c r="G691" s="1" t="s">
        <v>1481</v>
      </c>
      <c r="H691" s="1" t="s">
        <v>1452</v>
      </c>
      <c r="I691" s="1">
        <v>9</v>
      </c>
      <c r="J691" s="2">
        <v>5994.81</v>
      </c>
      <c r="K691" s="2">
        <v>5994.8068635</v>
      </c>
      <c r="L691" s="2">
        <v>4335.1099999999997</v>
      </c>
      <c r="M691" s="2">
        <v>4335.1099999999997</v>
      </c>
      <c r="N691" s="1" t="s">
        <v>45</v>
      </c>
      <c r="O691" s="2">
        <v>1.3828499999999999</v>
      </c>
      <c r="P691" s="3">
        <f t="shared" si="20"/>
        <v>4335.1099999999997</v>
      </c>
      <c r="Q691" s="3" t="str">
        <f t="shared" si="21"/>
        <v>29084796904335.11</v>
      </c>
      <c r="R691" t="s">
        <v>91</v>
      </c>
      <c r="AB691" t="s">
        <v>1404</v>
      </c>
    </row>
    <row r="692" spans="1:28" hidden="1">
      <c r="A692" t="s">
        <v>29</v>
      </c>
      <c r="B692" s="1" t="s">
        <v>780</v>
      </c>
      <c r="C692" s="1" t="s">
        <v>69</v>
      </c>
      <c r="D692" s="1" t="s">
        <v>1482</v>
      </c>
      <c r="E692" s="1" t="s">
        <v>1483</v>
      </c>
      <c r="F692" s="1" t="s">
        <v>1484</v>
      </c>
      <c r="G692" s="1" t="s">
        <v>1485</v>
      </c>
      <c r="H692" s="1" t="s">
        <v>1452</v>
      </c>
      <c r="I692" s="1">
        <v>9</v>
      </c>
      <c r="J692" s="2">
        <v>8020.53</v>
      </c>
      <c r="K692" s="2">
        <v>8020.53</v>
      </c>
      <c r="L692" s="2">
        <v>5800</v>
      </c>
      <c r="M692" s="2">
        <v>5800</v>
      </c>
      <c r="N692" s="1" t="s">
        <v>45</v>
      </c>
      <c r="O692" s="2">
        <v>1.3828499999999999</v>
      </c>
      <c r="P692" s="3">
        <f t="shared" si="20"/>
        <v>5800</v>
      </c>
      <c r="Q692" s="3" t="str">
        <f t="shared" si="21"/>
        <v>2000456335800</v>
      </c>
      <c r="AB692" t="s">
        <v>1404</v>
      </c>
    </row>
    <row r="693" spans="1:28" hidden="1">
      <c r="A693" t="s">
        <v>29</v>
      </c>
      <c r="B693" s="1" t="s">
        <v>816</v>
      </c>
      <c r="C693" s="1" t="s">
        <v>69</v>
      </c>
      <c r="D693" s="1" t="s">
        <v>1486</v>
      </c>
      <c r="E693" s="1" t="s">
        <v>334</v>
      </c>
      <c r="F693" s="1" t="s">
        <v>335</v>
      </c>
      <c r="G693" s="1" t="s">
        <v>1118</v>
      </c>
      <c r="H693" s="1" t="s">
        <v>1487</v>
      </c>
      <c r="I693" s="1">
        <v>8</v>
      </c>
      <c r="J693" s="2">
        <v>631.85</v>
      </c>
      <c r="K693" s="2">
        <v>631.85182199999997</v>
      </c>
      <c r="L693" s="2">
        <v>456.92</v>
      </c>
      <c r="M693" s="2">
        <v>456.92</v>
      </c>
      <c r="N693" s="1" t="s">
        <v>45</v>
      </c>
      <c r="O693" s="2">
        <v>1.3828499999999999</v>
      </c>
      <c r="P693" s="3">
        <f t="shared" si="20"/>
        <v>456.92</v>
      </c>
      <c r="Q693" s="3" t="str">
        <f t="shared" si="21"/>
        <v>2908482313456.92</v>
      </c>
      <c r="R693" t="s">
        <v>91</v>
      </c>
      <c r="AB693" t="s">
        <v>1404</v>
      </c>
    </row>
    <row r="694" spans="1:28" hidden="1">
      <c r="A694" t="s">
        <v>29</v>
      </c>
      <c r="B694" s="1" t="s">
        <v>816</v>
      </c>
      <c r="C694" s="1" t="s">
        <v>69</v>
      </c>
      <c r="D694" s="1" t="s">
        <v>1488</v>
      </c>
      <c r="E694" s="1" t="s">
        <v>334</v>
      </c>
      <c r="F694" s="1" t="s">
        <v>335</v>
      </c>
      <c r="G694" s="1" t="s">
        <v>877</v>
      </c>
      <c r="H694" s="1" t="s">
        <v>1487</v>
      </c>
      <c r="I694" s="1">
        <v>8</v>
      </c>
      <c r="J694" s="2">
        <v>1.34</v>
      </c>
      <c r="K694" s="2">
        <v>1.3413645000000001</v>
      </c>
      <c r="L694" s="2">
        <v>0.97</v>
      </c>
      <c r="M694" s="2">
        <v>0.97</v>
      </c>
      <c r="N694" s="1" t="s">
        <v>45</v>
      </c>
      <c r="O694" s="2">
        <v>1.3828499999999999</v>
      </c>
      <c r="P694" s="3">
        <f t="shared" si="20"/>
        <v>0.97</v>
      </c>
      <c r="Q694" s="3" t="str">
        <f t="shared" si="21"/>
        <v>29084808430.97</v>
      </c>
      <c r="R694" t="s">
        <v>91</v>
      </c>
      <c r="AB694" t="s">
        <v>1404</v>
      </c>
    </row>
    <row r="695" spans="1:28" hidden="1">
      <c r="A695" t="s">
        <v>29</v>
      </c>
      <c r="B695" s="1" t="s">
        <v>816</v>
      </c>
      <c r="C695" s="1" t="s">
        <v>69</v>
      </c>
      <c r="D695" s="1" t="s">
        <v>1489</v>
      </c>
      <c r="E695" s="1" t="s">
        <v>334</v>
      </c>
      <c r="F695" s="1" t="s">
        <v>335</v>
      </c>
      <c r="G695" s="1" t="s">
        <v>1356</v>
      </c>
      <c r="H695" s="1" t="s">
        <v>1487</v>
      </c>
      <c r="I695" s="1">
        <v>8</v>
      </c>
      <c r="J695" s="2">
        <v>12808.07</v>
      </c>
      <c r="K695" s="2">
        <v>12808.067327999999</v>
      </c>
      <c r="L695" s="2">
        <v>9262.08</v>
      </c>
      <c r="M695" s="2">
        <v>9262.08</v>
      </c>
      <c r="N695" s="1" t="s">
        <v>45</v>
      </c>
      <c r="O695" s="2">
        <v>1.3828499999999999</v>
      </c>
      <c r="P695" s="3">
        <f t="shared" si="20"/>
        <v>9262.08</v>
      </c>
      <c r="Q695" s="3" t="str">
        <f t="shared" si="21"/>
        <v>29084811269262.08</v>
      </c>
      <c r="R695" t="s">
        <v>91</v>
      </c>
      <c r="AB695" t="s">
        <v>1404</v>
      </c>
    </row>
    <row r="696" spans="1:28" hidden="1">
      <c r="A696" t="s">
        <v>29</v>
      </c>
      <c r="B696" s="1" t="s">
        <v>816</v>
      </c>
      <c r="C696" s="1" t="s">
        <v>69</v>
      </c>
      <c r="D696" s="1" t="s">
        <v>1490</v>
      </c>
      <c r="E696" s="1" t="s">
        <v>334</v>
      </c>
      <c r="F696" s="1" t="s">
        <v>335</v>
      </c>
      <c r="G696" s="1" t="s">
        <v>881</v>
      </c>
      <c r="H696" s="1" t="s">
        <v>1487</v>
      </c>
      <c r="I696" s="1">
        <v>8</v>
      </c>
      <c r="J696" s="2">
        <v>2384.12</v>
      </c>
      <c r="K696" s="2">
        <v>2384.1163710000001</v>
      </c>
      <c r="L696" s="2">
        <v>1724.06</v>
      </c>
      <c r="M696" s="2">
        <v>1724.06</v>
      </c>
      <c r="N696" s="1" t="s">
        <v>45</v>
      </c>
      <c r="O696" s="2">
        <v>1.3828499999999999</v>
      </c>
      <c r="P696" s="3">
        <f t="shared" si="20"/>
        <v>1724.06</v>
      </c>
      <c r="Q696" s="3" t="str">
        <f t="shared" si="21"/>
        <v>29084811271724.06</v>
      </c>
      <c r="R696" t="s">
        <v>91</v>
      </c>
      <c r="AB696" t="s">
        <v>1404</v>
      </c>
    </row>
    <row r="697" spans="1:28" hidden="1">
      <c r="A697" t="s">
        <v>29</v>
      </c>
      <c r="B697" s="1" t="s">
        <v>816</v>
      </c>
      <c r="C697" s="1" t="s">
        <v>69</v>
      </c>
      <c r="D697" s="1" t="s">
        <v>1491</v>
      </c>
      <c r="E697" s="1" t="s">
        <v>334</v>
      </c>
      <c r="F697" s="1" t="s">
        <v>335</v>
      </c>
      <c r="G697" s="1" t="s">
        <v>1118</v>
      </c>
      <c r="H697" s="1" t="s">
        <v>1487</v>
      </c>
      <c r="I697" s="1">
        <v>8</v>
      </c>
      <c r="J697" s="2">
        <v>741.51</v>
      </c>
      <c r="K697" s="2">
        <v>741.51182700000004</v>
      </c>
      <c r="L697" s="2">
        <v>536.22</v>
      </c>
      <c r="M697" s="2">
        <v>536.22</v>
      </c>
      <c r="N697" s="1" t="s">
        <v>45</v>
      </c>
      <c r="O697" s="2">
        <v>1.3828499999999999</v>
      </c>
      <c r="P697" s="3">
        <f t="shared" si="20"/>
        <v>536.22</v>
      </c>
      <c r="Q697" s="3" t="str">
        <f t="shared" si="21"/>
        <v>2908481128536.22</v>
      </c>
      <c r="R697" t="s">
        <v>91</v>
      </c>
      <c r="AB697" t="s">
        <v>1404</v>
      </c>
    </row>
    <row r="698" spans="1:28" hidden="1">
      <c r="A698" t="s">
        <v>29</v>
      </c>
      <c r="B698" s="1" t="s">
        <v>816</v>
      </c>
      <c r="C698" s="1" t="s">
        <v>69</v>
      </c>
      <c r="D698" s="1" t="s">
        <v>1492</v>
      </c>
      <c r="E698" s="1" t="s">
        <v>334</v>
      </c>
      <c r="F698" s="1" t="s">
        <v>335</v>
      </c>
      <c r="G698" s="1" t="s">
        <v>1324</v>
      </c>
      <c r="H698" s="1" t="s">
        <v>1487</v>
      </c>
      <c r="I698" s="1">
        <v>8</v>
      </c>
      <c r="J698" s="2">
        <v>403.23</v>
      </c>
      <c r="K698" s="2">
        <v>403.22523150000001</v>
      </c>
      <c r="L698" s="2">
        <v>291.58999999999997</v>
      </c>
      <c r="M698" s="2">
        <v>291.58999999999997</v>
      </c>
      <c r="N698" s="1" t="s">
        <v>45</v>
      </c>
      <c r="O698" s="2">
        <v>1.3828499999999999</v>
      </c>
      <c r="P698" s="3">
        <f t="shared" si="20"/>
        <v>291.58999999999997</v>
      </c>
      <c r="Q698" s="3" t="str">
        <f t="shared" si="21"/>
        <v>2908481446291.59</v>
      </c>
      <c r="R698" t="s">
        <v>91</v>
      </c>
      <c r="AB698" t="s">
        <v>1404</v>
      </c>
    </row>
    <row r="699" spans="1:28" hidden="1">
      <c r="A699" t="s">
        <v>29</v>
      </c>
      <c r="B699" s="1" t="s">
        <v>816</v>
      </c>
      <c r="C699" s="1" t="s">
        <v>69</v>
      </c>
      <c r="D699" s="1" t="s">
        <v>1493</v>
      </c>
      <c r="E699" s="1" t="s">
        <v>334</v>
      </c>
      <c r="F699" s="1" t="s">
        <v>335</v>
      </c>
      <c r="G699" s="1" t="s">
        <v>1324</v>
      </c>
      <c r="H699" s="1" t="s">
        <v>1487</v>
      </c>
      <c r="I699" s="1">
        <v>8</v>
      </c>
      <c r="J699" s="2">
        <v>629.76</v>
      </c>
      <c r="K699" s="2">
        <v>629.76371849999998</v>
      </c>
      <c r="L699" s="2">
        <v>455.41</v>
      </c>
      <c r="M699" s="2">
        <v>455.41</v>
      </c>
      <c r="N699" s="1" t="s">
        <v>45</v>
      </c>
      <c r="O699" s="2">
        <v>1.3828499999999999</v>
      </c>
      <c r="P699" s="3">
        <f t="shared" si="20"/>
        <v>455.41</v>
      </c>
      <c r="Q699" s="3" t="str">
        <f t="shared" si="21"/>
        <v>2908481505455.41</v>
      </c>
      <c r="R699" t="s">
        <v>91</v>
      </c>
      <c r="AB699" t="s">
        <v>1404</v>
      </c>
    </row>
    <row r="700" spans="1:28" hidden="1">
      <c r="A700" t="s">
        <v>29</v>
      </c>
      <c r="B700" s="1" t="s">
        <v>816</v>
      </c>
      <c r="C700" s="1" t="s">
        <v>69</v>
      </c>
      <c r="D700" s="1" t="s">
        <v>1494</v>
      </c>
      <c r="E700" s="1" t="s">
        <v>334</v>
      </c>
      <c r="F700" s="1" t="s">
        <v>335</v>
      </c>
      <c r="G700" s="1" t="s">
        <v>1258</v>
      </c>
      <c r="H700" s="1" t="s">
        <v>1487</v>
      </c>
      <c r="I700" s="1">
        <v>8</v>
      </c>
      <c r="J700" s="2">
        <v>1925.63</v>
      </c>
      <c r="K700" s="2">
        <v>1925.6324535000001</v>
      </c>
      <c r="L700" s="2">
        <v>1392.51</v>
      </c>
      <c r="M700" s="2">
        <v>1392.51</v>
      </c>
      <c r="N700" s="1" t="s">
        <v>45</v>
      </c>
      <c r="O700" s="2">
        <v>1.3828499999999999</v>
      </c>
      <c r="P700" s="3">
        <f t="shared" si="20"/>
        <v>1392.51</v>
      </c>
      <c r="Q700" s="3" t="str">
        <f t="shared" si="21"/>
        <v>29084816631392.51</v>
      </c>
      <c r="R700" t="s">
        <v>91</v>
      </c>
      <c r="AB700" t="s">
        <v>1404</v>
      </c>
    </row>
    <row r="701" spans="1:28" hidden="1">
      <c r="A701" t="s">
        <v>29</v>
      </c>
      <c r="B701" s="1" t="s">
        <v>816</v>
      </c>
      <c r="C701" s="1" t="s">
        <v>69</v>
      </c>
      <c r="D701" s="1" t="s">
        <v>1495</v>
      </c>
      <c r="E701" s="1" t="s">
        <v>334</v>
      </c>
      <c r="F701" s="1" t="s">
        <v>335</v>
      </c>
      <c r="G701" s="1" t="s">
        <v>1414</v>
      </c>
      <c r="H701" s="1" t="s">
        <v>1487</v>
      </c>
      <c r="I701" s="1">
        <v>8</v>
      </c>
      <c r="J701" s="2">
        <v>34.880000000000003</v>
      </c>
      <c r="K701" s="2">
        <v>34.875476999999997</v>
      </c>
      <c r="L701" s="2">
        <v>25.22</v>
      </c>
      <c r="M701" s="2">
        <v>25.22</v>
      </c>
      <c r="N701" s="1" t="s">
        <v>45</v>
      </c>
      <c r="O701" s="2">
        <v>1.3828499999999999</v>
      </c>
      <c r="P701" s="3">
        <f t="shared" si="20"/>
        <v>25.22</v>
      </c>
      <c r="Q701" s="3" t="str">
        <f t="shared" si="21"/>
        <v>290848231025.22</v>
      </c>
      <c r="R701" t="s">
        <v>91</v>
      </c>
      <c r="AB701" t="s">
        <v>1404</v>
      </c>
    </row>
    <row r="702" spans="1:28" hidden="1">
      <c r="A702" t="s">
        <v>29</v>
      </c>
      <c r="B702" s="1" t="s">
        <v>835</v>
      </c>
      <c r="C702" s="1" t="s">
        <v>69</v>
      </c>
      <c r="D702" s="1" t="s">
        <v>1496</v>
      </c>
      <c r="E702" s="1" t="s">
        <v>334</v>
      </c>
      <c r="F702" s="1" t="s">
        <v>335</v>
      </c>
      <c r="G702" s="1" t="s">
        <v>877</v>
      </c>
      <c r="H702" s="1" t="s">
        <v>1497</v>
      </c>
      <c r="I702" s="1">
        <v>7</v>
      </c>
      <c r="J702" s="2">
        <v>101</v>
      </c>
      <c r="K702" s="2">
        <v>101.00331300000001</v>
      </c>
      <c r="L702" s="2">
        <v>73.05</v>
      </c>
      <c r="M702" s="2">
        <v>73.05</v>
      </c>
      <c r="N702" s="1" t="s">
        <v>45</v>
      </c>
      <c r="O702" s="2">
        <v>1.38266</v>
      </c>
      <c r="P702" s="3">
        <f t="shared" si="20"/>
        <v>73.05</v>
      </c>
      <c r="Q702" s="3" t="str">
        <f t="shared" si="21"/>
        <v>290848297473.05</v>
      </c>
      <c r="R702" t="s">
        <v>91</v>
      </c>
      <c r="AB702" t="s">
        <v>1404</v>
      </c>
    </row>
    <row r="703" spans="1:28" hidden="1">
      <c r="A703" t="s">
        <v>29</v>
      </c>
      <c r="B703" s="1" t="s">
        <v>835</v>
      </c>
      <c r="C703" s="1" t="s">
        <v>69</v>
      </c>
      <c r="D703" s="1" t="s">
        <v>1498</v>
      </c>
      <c r="E703" s="1" t="s">
        <v>334</v>
      </c>
      <c r="F703" s="1" t="s">
        <v>335</v>
      </c>
      <c r="G703" s="1" t="s">
        <v>533</v>
      </c>
      <c r="H703" s="1" t="s">
        <v>1497</v>
      </c>
      <c r="I703" s="1">
        <v>7</v>
      </c>
      <c r="J703" s="2">
        <v>3145.61</v>
      </c>
      <c r="K703" s="2">
        <v>3145.6068064000001</v>
      </c>
      <c r="L703" s="2">
        <v>2275.04</v>
      </c>
      <c r="M703" s="2">
        <v>2275.04</v>
      </c>
      <c r="N703" s="1" t="s">
        <v>45</v>
      </c>
      <c r="O703" s="2">
        <v>1.38266</v>
      </c>
      <c r="P703" s="3">
        <f t="shared" si="20"/>
        <v>2275.04</v>
      </c>
      <c r="Q703" s="3" t="str">
        <f t="shared" si="21"/>
        <v>29084829732275.04</v>
      </c>
      <c r="R703" t="s">
        <v>91</v>
      </c>
      <c r="AB703" t="s">
        <v>1404</v>
      </c>
    </row>
    <row r="704" spans="1:28" hidden="1">
      <c r="A704" t="s">
        <v>29</v>
      </c>
      <c r="B704" s="1" t="s">
        <v>835</v>
      </c>
      <c r="C704" s="1" t="s">
        <v>69</v>
      </c>
      <c r="D704" s="1" t="s">
        <v>1499</v>
      </c>
      <c r="E704" s="1" t="s">
        <v>334</v>
      </c>
      <c r="F704" s="1" t="s">
        <v>335</v>
      </c>
      <c r="G704" s="1" t="s">
        <v>643</v>
      </c>
      <c r="H704" s="1" t="s">
        <v>1497</v>
      </c>
      <c r="I704" s="1">
        <v>7</v>
      </c>
      <c r="J704" s="2">
        <v>467.71</v>
      </c>
      <c r="K704" s="2">
        <v>467.7123982</v>
      </c>
      <c r="L704" s="2">
        <v>338.27</v>
      </c>
      <c r="M704" s="2">
        <v>338.27</v>
      </c>
      <c r="N704" s="1" t="s">
        <v>45</v>
      </c>
      <c r="O704" s="2">
        <v>1.38266</v>
      </c>
      <c r="P704" s="3">
        <f t="shared" ref="P704:P767" si="22">IF(N704="CAD",$P$1,1)*M704</f>
        <v>338.27</v>
      </c>
      <c r="Q704" s="3" t="str">
        <f t="shared" ref="Q704:Q767" si="23">D704&amp;M704</f>
        <v>2908483771338.27</v>
      </c>
      <c r="R704" t="s">
        <v>91</v>
      </c>
      <c r="AB704" t="s">
        <v>1404</v>
      </c>
    </row>
    <row r="705" spans="1:28" hidden="1">
      <c r="A705" t="s">
        <v>29</v>
      </c>
      <c r="B705" s="1" t="s">
        <v>835</v>
      </c>
      <c r="C705" s="1" t="s">
        <v>69</v>
      </c>
      <c r="D705" s="1" t="s">
        <v>1500</v>
      </c>
      <c r="E705" s="1" t="s">
        <v>334</v>
      </c>
      <c r="F705" s="1" t="s">
        <v>335</v>
      </c>
      <c r="G705" s="1" t="s">
        <v>881</v>
      </c>
      <c r="H705" s="1" t="s">
        <v>1497</v>
      </c>
      <c r="I705" s="1">
        <v>7</v>
      </c>
      <c r="J705" s="2">
        <v>2200.42</v>
      </c>
      <c r="K705" s="2">
        <v>2200.4204304</v>
      </c>
      <c r="L705" s="2">
        <v>1591.44</v>
      </c>
      <c r="M705" s="2">
        <v>1591.44</v>
      </c>
      <c r="N705" s="1" t="s">
        <v>45</v>
      </c>
      <c r="O705" s="2">
        <v>1.38266</v>
      </c>
      <c r="P705" s="3">
        <f t="shared" si="22"/>
        <v>1591.44</v>
      </c>
      <c r="Q705" s="3" t="str">
        <f t="shared" si="23"/>
        <v>29084839621591.44</v>
      </c>
      <c r="R705" t="s">
        <v>91</v>
      </c>
      <c r="AB705" t="s">
        <v>1404</v>
      </c>
    </row>
    <row r="706" spans="1:28" hidden="1">
      <c r="A706" t="s">
        <v>29</v>
      </c>
      <c r="B706" s="1" t="s">
        <v>835</v>
      </c>
      <c r="C706" s="1" t="s">
        <v>69</v>
      </c>
      <c r="D706" s="1" t="s">
        <v>1501</v>
      </c>
      <c r="E706" s="1" t="s">
        <v>334</v>
      </c>
      <c r="F706" s="1" t="s">
        <v>335</v>
      </c>
      <c r="G706" s="1" t="s">
        <v>877</v>
      </c>
      <c r="H706" s="1" t="s">
        <v>1497</v>
      </c>
      <c r="I706" s="1">
        <v>7</v>
      </c>
      <c r="J706" s="2">
        <v>105.04</v>
      </c>
      <c r="K706" s="2">
        <v>105.0406802</v>
      </c>
      <c r="L706" s="2">
        <v>75.97</v>
      </c>
      <c r="M706" s="2">
        <v>75.97</v>
      </c>
      <c r="N706" s="1" t="s">
        <v>45</v>
      </c>
      <c r="O706" s="2">
        <v>1.38266</v>
      </c>
      <c r="P706" s="3">
        <f t="shared" si="22"/>
        <v>75.97</v>
      </c>
      <c r="Q706" s="3" t="str">
        <f t="shared" si="23"/>
        <v>290848408675.97</v>
      </c>
      <c r="R706" t="s">
        <v>91</v>
      </c>
      <c r="AB706" t="s">
        <v>1404</v>
      </c>
    </row>
    <row r="707" spans="1:28" hidden="1">
      <c r="A707" t="s">
        <v>29</v>
      </c>
      <c r="B707" s="1" t="s">
        <v>835</v>
      </c>
      <c r="C707" s="1" t="s">
        <v>69</v>
      </c>
      <c r="D707" s="1" t="s">
        <v>1502</v>
      </c>
      <c r="E707" s="1" t="s">
        <v>334</v>
      </c>
      <c r="F707" s="1" t="s">
        <v>335</v>
      </c>
      <c r="G707" s="1" t="s">
        <v>881</v>
      </c>
      <c r="H707" s="1" t="s">
        <v>1497</v>
      </c>
      <c r="I707" s="1">
        <v>7</v>
      </c>
      <c r="J707" s="2">
        <v>91.68</v>
      </c>
      <c r="K707" s="2">
        <v>91.684184599999995</v>
      </c>
      <c r="L707" s="2">
        <v>66.31</v>
      </c>
      <c r="M707" s="2">
        <v>66.31</v>
      </c>
      <c r="N707" s="1" t="s">
        <v>45</v>
      </c>
      <c r="O707" s="2">
        <v>1.38266</v>
      </c>
      <c r="P707" s="3">
        <f t="shared" si="22"/>
        <v>66.31</v>
      </c>
      <c r="Q707" s="3" t="str">
        <f t="shared" si="23"/>
        <v>290848430166.31</v>
      </c>
      <c r="R707" t="s">
        <v>91</v>
      </c>
      <c r="AB707" t="s">
        <v>1404</v>
      </c>
    </row>
    <row r="708" spans="1:28" hidden="1">
      <c r="A708" t="s">
        <v>29</v>
      </c>
      <c r="B708" s="1" t="s">
        <v>1150</v>
      </c>
      <c r="C708" s="1" t="s">
        <v>69</v>
      </c>
      <c r="D708" s="1" t="s">
        <v>1503</v>
      </c>
      <c r="E708" s="1" t="s">
        <v>156</v>
      </c>
      <c r="F708" s="1" t="s">
        <v>156</v>
      </c>
      <c r="G708" s="1" t="s">
        <v>865</v>
      </c>
      <c r="H708" s="1" t="s">
        <v>1497</v>
      </c>
      <c r="I708" s="1">
        <v>7</v>
      </c>
      <c r="J708" s="2">
        <v>6689.67</v>
      </c>
      <c r="K708" s="2">
        <v>6689.67</v>
      </c>
      <c r="L708" s="2">
        <v>6689.67</v>
      </c>
      <c r="M708" s="2">
        <v>6689.67</v>
      </c>
      <c r="N708" s="1" t="s">
        <v>36</v>
      </c>
      <c r="O708" s="2">
        <v>1</v>
      </c>
      <c r="P708" s="3">
        <f t="shared" si="22"/>
        <v>5017.2525000000005</v>
      </c>
      <c r="Q708" s="3" t="str">
        <f t="shared" si="23"/>
        <v>2-704-752796689.67</v>
      </c>
      <c r="AB708" t="s">
        <v>1404</v>
      </c>
    </row>
    <row r="709" spans="1:28" hidden="1">
      <c r="A709" t="s">
        <v>29</v>
      </c>
      <c r="B709" s="1" t="s">
        <v>1150</v>
      </c>
      <c r="C709" s="1" t="s">
        <v>69</v>
      </c>
      <c r="D709" s="1" t="s">
        <v>1504</v>
      </c>
      <c r="E709" s="1" t="s">
        <v>156</v>
      </c>
      <c r="F709" s="1" t="s">
        <v>156</v>
      </c>
      <c r="G709" s="1" t="s">
        <v>865</v>
      </c>
      <c r="H709" s="1" t="s">
        <v>1497</v>
      </c>
      <c r="I709" s="1">
        <v>7</v>
      </c>
      <c r="J709" s="2">
        <v>203.12</v>
      </c>
      <c r="K709" s="2">
        <v>203.12</v>
      </c>
      <c r="L709" s="2">
        <v>203.12</v>
      </c>
      <c r="M709" s="2">
        <v>203.12</v>
      </c>
      <c r="N709" s="1" t="s">
        <v>36</v>
      </c>
      <c r="O709" s="2">
        <v>1</v>
      </c>
      <c r="P709" s="3">
        <f t="shared" si="22"/>
        <v>152.34</v>
      </c>
      <c r="Q709" s="3" t="str">
        <f t="shared" si="23"/>
        <v>2-704-97979203.12</v>
      </c>
      <c r="AB709" t="s">
        <v>1404</v>
      </c>
    </row>
    <row r="710" spans="1:28" hidden="1">
      <c r="A710" t="s">
        <v>29</v>
      </c>
      <c r="B710" s="1" t="s">
        <v>851</v>
      </c>
      <c r="C710" s="1" t="s">
        <v>69</v>
      </c>
      <c r="D710" s="1" t="s">
        <v>1505</v>
      </c>
      <c r="E710" s="1" t="s">
        <v>584</v>
      </c>
      <c r="F710" s="1" t="s">
        <v>585</v>
      </c>
      <c r="G710" s="1" t="s">
        <v>752</v>
      </c>
      <c r="H710" s="1" t="s">
        <v>1506</v>
      </c>
      <c r="I710" s="1">
        <v>6</v>
      </c>
      <c r="J710" s="2">
        <v>189.9</v>
      </c>
      <c r="K710" s="2">
        <v>189.9</v>
      </c>
      <c r="L710" s="2">
        <v>189.9</v>
      </c>
      <c r="M710" s="2">
        <v>189.9</v>
      </c>
      <c r="N710" s="1" t="s">
        <v>36</v>
      </c>
      <c r="O710" s="2">
        <v>1</v>
      </c>
      <c r="P710" s="3">
        <f t="shared" si="22"/>
        <v>142.42500000000001</v>
      </c>
      <c r="Q710" s="3" t="str">
        <f t="shared" si="23"/>
        <v>7799146189.9</v>
      </c>
      <c r="AB710" t="s">
        <v>1404</v>
      </c>
    </row>
    <row r="711" spans="1:28" hidden="1">
      <c r="A711" t="s">
        <v>29</v>
      </c>
      <c r="B711" s="1" t="s">
        <v>851</v>
      </c>
      <c r="C711" s="1" t="s">
        <v>69</v>
      </c>
      <c r="D711" s="1" t="s">
        <v>1507</v>
      </c>
      <c r="E711" s="1" t="s">
        <v>584</v>
      </c>
      <c r="F711" s="1" t="s">
        <v>585</v>
      </c>
      <c r="G711" s="1" t="s">
        <v>752</v>
      </c>
      <c r="H711" s="1" t="s">
        <v>1506</v>
      </c>
      <c r="I711" s="1">
        <v>6</v>
      </c>
      <c r="J711" s="2">
        <v>97.41</v>
      </c>
      <c r="K711" s="2">
        <v>97.41</v>
      </c>
      <c r="L711" s="2">
        <v>97.41</v>
      </c>
      <c r="M711" s="2">
        <v>97.41</v>
      </c>
      <c r="N711" s="1" t="s">
        <v>36</v>
      </c>
      <c r="O711" s="2">
        <v>1</v>
      </c>
      <c r="P711" s="3">
        <f t="shared" si="22"/>
        <v>73.057500000000005</v>
      </c>
      <c r="Q711" s="3" t="str">
        <f t="shared" si="23"/>
        <v>779936497.41</v>
      </c>
      <c r="AB711" t="s">
        <v>1404</v>
      </c>
    </row>
    <row r="712" spans="1:28" hidden="1">
      <c r="A712" t="s">
        <v>29</v>
      </c>
      <c r="B712" s="1" t="s">
        <v>851</v>
      </c>
      <c r="C712" s="1" t="s">
        <v>69</v>
      </c>
      <c r="D712" s="1" t="s">
        <v>1508</v>
      </c>
      <c r="E712" s="1" t="s">
        <v>584</v>
      </c>
      <c r="F712" s="1" t="s">
        <v>585</v>
      </c>
      <c r="G712" s="1" t="s">
        <v>752</v>
      </c>
      <c r="H712" s="1" t="s">
        <v>1506</v>
      </c>
      <c r="I712" s="1">
        <v>6</v>
      </c>
      <c r="J712" s="2">
        <v>97.41</v>
      </c>
      <c r="K712" s="2">
        <v>97.41</v>
      </c>
      <c r="L712" s="2">
        <v>97.41</v>
      </c>
      <c r="M712" s="2">
        <v>97.41</v>
      </c>
      <c r="N712" s="1" t="s">
        <v>36</v>
      </c>
      <c r="O712" s="2">
        <v>1</v>
      </c>
      <c r="P712" s="3">
        <f t="shared" si="22"/>
        <v>73.057500000000005</v>
      </c>
      <c r="Q712" s="3" t="str">
        <f t="shared" si="23"/>
        <v>779915197.41</v>
      </c>
      <c r="AB712" t="s">
        <v>1404</v>
      </c>
    </row>
    <row r="713" spans="1:28" hidden="1">
      <c r="A713" t="s">
        <v>29</v>
      </c>
      <c r="B713" s="1" t="s">
        <v>851</v>
      </c>
      <c r="C713" s="1" t="s">
        <v>69</v>
      </c>
      <c r="D713" s="1" t="s">
        <v>1509</v>
      </c>
      <c r="E713" s="1" t="s">
        <v>580</v>
      </c>
      <c r="F713" s="1" t="s">
        <v>581</v>
      </c>
      <c r="G713" s="1" t="s">
        <v>1510</v>
      </c>
      <c r="H713" s="1" t="s">
        <v>1506</v>
      </c>
      <c r="I713" s="1">
        <v>6</v>
      </c>
      <c r="J713" s="2">
        <v>4031.63</v>
      </c>
      <c r="K713" s="2">
        <v>4031.6269754599998</v>
      </c>
      <c r="L713" s="2">
        <v>2911.58</v>
      </c>
      <c r="M713" s="2">
        <v>2911.58</v>
      </c>
      <c r="N713" s="1" t="s">
        <v>45</v>
      </c>
      <c r="O713" s="2">
        <v>1.384687</v>
      </c>
      <c r="P713" s="3">
        <f t="shared" si="22"/>
        <v>2911.58</v>
      </c>
      <c r="Q713" s="3" t="str">
        <f t="shared" si="23"/>
        <v>1315942911.58</v>
      </c>
      <c r="R713" t="s">
        <v>91</v>
      </c>
      <c r="AB713" t="s">
        <v>1404</v>
      </c>
    </row>
    <row r="714" spans="1:28" hidden="1">
      <c r="A714" t="s">
        <v>29</v>
      </c>
      <c r="B714" s="1" t="s">
        <v>851</v>
      </c>
      <c r="C714" s="1" t="s">
        <v>69</v>
      </c>
      <c r="D714" s="1" t="s">
        <v>1511</v>
      </c>
      <c r="E714" s="1" t="s">
        <v>580</v>
      </c>
      <c r="F714" s="1" t="s">
        <v>581</v>
      </c>
      <c r="G714" s="1" t="s">
        <v>1512</v>
      </c>
      <c r="H714" s="1" t="s">
        <v>1506</v>
      </c>
      <c r="I714" s="1">
        <v>6</v>
      </c>
      <c r="J714" s="2">
        <v>1877.64</v>
      </c>
      <c r="K714" s="2">
        <v>1877.6355719999999</v>
      </c>
      <c r="L714" s="2">
        <v>1356</v>
      </c>
      <c r="M714" s="2">
        <v>1356</v>
      </c>
      <c r="N714" s="1" t="s">
        <v>45</v>
      </c>
      <c r="O714" s="2">
        <v>1.384687</v>
      </c>
      <c r="P714" s="3">
        <f t="shared" si="22"/>
        <v>1356</v>
      </c>
      <c r="Q714" s="3" t="str">
        <f t="shared" si="23"/>
        <v>1315931356</v>
      </c>
      <c r="R714" t="s">
        <v>91</v>
      </c>
      <c r="AB714" t="s">
        <v>1404</v>
      </c>
    </row>
    <row r="715" spans="1:28" hidden="1">
      <c r="A715" t="s">
        <v>29</v>
      </c>
      <c r="B715" s="1" t="s">
        <v>851</v>
      </c>
      <c r="C715" s="1" t="s">
        <v>69</v>
      </c>
      <c r="D715" s="1" t="s">
        <v>1513</v>
      </c>
      <c r="E715" s="1" t="s">
        <v>550</v>
      </c>
      <c r="F715" s="1" t="s">
        <v>551</v>
      </c>
      <c r="G715" s="1" t="s">
        <v>1514</v>
      </c>
      <c r="H715" s="1" t="s">
        <v>1506</v>
      </c>
      <c r="I715" s="1">
        <v>6</v>
      </c>
      <c r="J715" s="2">
        <v>15885.54</v>
      </c>
      <c r="K715" s="2">
        <v>15885.5446701</v>
      </c>
      <c r="L715" s="2">
        <v>11472.3</v>
      </c>
      <c r="M715" s="2">
        <v>11472.3</v>
      </c>
      <c r="N715" s="1" t="s">
        <v>45</v>
      </c>
      <c r="O715" s="2">
        <v>1.384687</v>
      </c>
      <c r="P715" s="3">
        <f t="shared" si="22"/>
        <v>11472.3</v>
      </c>
      <c r="Q715" s="3" t="str">
        <f t="shared" si="23"/>
        <v>450000131311472.3</v>
      </c>
      <c r="R715" t="s">
        <v>74</v>
      </c>
      <c r="S715" t="s">
        <v>155</v>
      </c>
      <c r="AB715" t="s">
        <v>1404</v>
      </c>
    </row>
    <row r="716" spans="1:28" hidden="1">
      <c r="A716" t="s">
        <v>29</v>
      </c>
      <c r="B716" s="1" t="s">
        <v>851</v>
      </c>
      <c r="C716" s="1" t="s">
        <v>69</v>
      </c>
      <c r="D716" s="1" t="s">
        <v>1515</v>
      </c>
      <c r="E716" s="1" t="s">
        <v>334</v>
      </c>
      <c r="F716" s="1" t="s">
        <v>335</v>
      </c>
      <c r="G716" s="1" t="s">
        <v>881</v>
      </c>
      <c r="H716" s="1" t="s">
        <v>1506</v>
      </c>
      <c r="I716" s="1">
        <v>6</v>
      </c>
      <c r="J716" s="2">
        <v>6702.76</v>
      </c>
      <c r="K716" s="2">
        <v>6702.75743281</v>
      </c>
      <c r="L716" s="2">
        <v>4840.63</v>
      </c>
      <c r="M716" s="2">
        <v>4840.63</v>
      </c>
      <c r="N716" s="1" t="s">
        <v>45</v>
      </c>
      <c r="O716" s="2">
        <v>1.384687</v>
      </c>
      <c r="P716" s="3">
        <f t="shared" si="22"/>
        <v>4840.63</v>
      </c>
      <c r="Q716" s="3" t="str">
        <f t="shared" si="23"/>
        <v>29084866484840.63</v>
      </c>
      <c r="R716" t="s">
        <v>91</v>
      </c>
      <c r="AB716" t="s">
        <v>1404</v>
      </c>
    </row>
    <row r="717" spans="1:28" hidden="1">
      <c r="A717" t="s">
        <v>29</v>
      </c>
      <c r="B717" s="1" t="s">
        <v>851</v>
      </c>
      <c r="C717" s="1" t="s">
        <v>69</v>
      </c>
      <c r="D717" s="1" t="s">
        <v>1516</v>
      </c>
      <c r="E717" s="1" t="s">
        <v>334</v>
      </c>
      <c r="F717" s="1" t="s">
        <v>335</v>
      </c>
      <c r="G717" s="1" t="s">
        <v>881</v>
      </c>
      <c r="H717" s="1" t="s">
        <v>1506</v>
      </c>
      <c r="I717" s="1">
        <v>6</v>
      </c>
      <c r="J717" s="2">
        <v>2570.92</v>
      </c>
      <c r="K717" s="2">
        <v>2570.92065916</v>
      </c>
      <c r="L717" s="2">
        <v>1856.68</v>
      </c>
      <c r="M717" s="2">
        <v>1856.68</v>
      </c>
      <c r="N717" s="1" t="s">
        <v>45</v>
      </c>
      <c r="O717" s="2">
        <v>1.384687</v>
      </c>
      <c r="P717" s="3">
        <f t="shared" si="22"/>
        <v>1856.68</v>
      </c>
      <c r="Q717" s="3" t="str">
        <f t="shared" si="23"/>
        <v>29084849391856.68</v>
      </c>
      <c r="R717" t="s">
        <v>91</v>
      </c>
      <c r="AB717" t="s">
        <v>1404</v>
      </c>
    </row>
    <row r="718" spans="1:28" hidden="1">
      <c r="A718" t="s">
        <v>29</v>
      </c>
      <c r="B718" s="1" t="s">
        <v>851</v>
      </c>
      <c r="C718" s="1" t="s">
        <v>69</v>
      </c>
      <c r="D718" s="1" t="s">
        <v>1517</v>
      </c>
      <c r="E718" s="1" t="s">
        <v>334</v>
      </c>
      <c r="F718" s="1" t="s">
        <v>335</v>
      </c>
      <c r="G718" s="1" t="s">
        <v>533</v>
      </c>
      <c r="H718" s="1" t="s">
        <v>1506</v>
      </c>
      <c r="I718" s="1">
        <v>6</v>
      </c>
      <c r="J718" s="2">
        <v>182.07</v>
      </c>
      <c r="K718" s="2">
        <v>182.07249363</v>
      </c>
      <c r="L718" s="2">
        <v>131.49</v>
      </c>
      <c r="M718" s="2">
        <v>131.49</v>
      </c>
      <c r="N718" s="1" t="s">
        <v>45</v>
      </c>
      <c r="O718" s="2">
        <v>1.384687</v>
      </c>
      <c r="P718" s="3">
        <f t="shared" si="22"/>
        <v>131.49</v>
      </c>
      <c r="Q718" s="3" t="str">
        <f t="shared" si="23"/>
        <v>2908485024131.49</v>
      </c>
      <c r="R718" t="s">
        <v>91</v>
      </c>
      <c r="AB718" t="s">
        <v>1404</v>
      </c>
    </row>
    <row r="719" spans="1:28" hidden="1">
      <c r="A719" t="s">
        <v>29</v>
      </c>
      <c r="B719" s="1" t="s">
        <v>851</v>
      </c>
      <c r="C719" s="1" t="s">
        <v>69</v>
      </c>
      <c r="D719" s="1" t="s">
        <v>1518</v>
      </c>
      <c r="E719" s="1" t="s">
        <v>334</v>
      </c>
      <c r="F719" s="1" t="s">
        <v>335</v>
      </c>
      <c r="G719" s="1" t="s">
        <v>877</v>
      </c>
      <c r="H719" s="1" t="s">
        <v>1506</v>
      </c>
      <c r="I719" s="1">
        <v>6</v>
      </c>
      <c r="J719" s="2">
        <v>128.13</v>
      </c>
      <c r="K719" s="2">
        <v>128.12508811000001</v>
      </c>
      <c r="L719" s="2">
        <v>92.53</v>
      </c>
      <c r="M719" s="2">
        <v>92.53</v>
      </c>
      <c r="N719" s="1" t="s">
        <v>45</v>
      </c>
      <c r="O719" s="2">
        <v>1.384687</v>
      </c>
      <c r="P719" s="3">
        <f t="shared" si="22"/>
        <v>92.53</v>
      </c>
      <c r="Q719" s="3" t="str">
        <f t="shared" si="23"/>
        <v>290848502692.53</v>
      </c>
      <c r="R719" t="s">
        <v>91</v>
      </c>
      <c r="AB719" t="s">
        <v>1404</v>
      </c>
    </row>
    <row r="720" spans="1:28" hidden="1">
      <c r="A720" t="s">
        <v>29</v>
      </c>
      <c r="B720" s="1" t="s">
        <v>851</v>
      </c>
      <c r="C720" s="1" t="s">
        <v>69</v>
      </c>
      <c r="D720" s="1" t="s">
        <v>1519</v>
      </c>
      <c r="E720" s="1" t="s">
        <v>334</v>
      </c>
      <c r="F720" s="1" t="s">
        <v>335</v>
      </c>
      <c r="G720" s="1" t="s">
        <v>1118</v>
      </c>
      <c r="H720" s="1" t="s">
        <v>1506</v>
      </c>
      <c r="I720" s="1">
        <v>6</v>
      </c>
      <c r="J720" s="2">
        <v>528.62</v>
      </c>
      <c r="K720" s="2">
        <v>528.61810911999999</v>
      </c>
      <c r="L720" s="2">
        <v>381.76</v>
      </c>
      <c r="M720" s="2">
        <v>381.76</v>
      </c>
      <c r="N720" s="1" t="s">
        <v>45</v>
      </c>
      <c r="O720" s="2">
        <v>1.384687</v>
      </c>
      <c r="P720" s="3">
        <f t="shared" si="22"/>
        <v>381.76</v>
      </c>
      <c r="Q720" s="3" t="str">
        <f t="shared" si="23"/>
        <v>2908485529381.76</v>
      </c>
      <c r="R720" t="s">
        <v>91</v>
      </c>
      <c r="AB720" t="s">
        <v>1404</v>
      </c>
    </row>
    <row r="721" spans="1:28" hidden="1">
      <c r="A721" t="s">
        <v>29</v>
      </c>
      <c r="B721" s="1" t="s">
        <v>851</v>
      </c>
      <c r="C721" s="1" t="s">
        <v>69</v>
      </c>
      <c r="D721" s="1" t="s">
        <v>1520</v>
      </c>
      <c r="E721" s="1" t="s">
        <v>334</v>
      </c>
      <c r="F721" s="1" t="s">
        <v>335</v>
      </c>
      <c r="G721" s="1" t="s">
        <v>709</v>
      </c>
      <c r="H721" s="1" t="s">
        <v>1506</v>
      </c>
      <c r="I721" s="1">
        <v>6</v>
      </c>
      <c r="J721" s="2">
        <v>1733.95</v>
      </c>
      <c r="K721" s="2">
        <v>1733.9466020100001</v>
      </c>
      <c r="L721" s="2">
        <v>1252.23</v>
      </c>
      <c r="M721" s="2">
        <v>1252.23</v>
      </c>
      <c r="N721" s="1" t="s">
        <v>45</v>
      </c>
      <c r="O721" s="2">
        <v>1.384687</v>
      </c>
      <c r="P721" s="3">
        <f t="shared" si="22"/>
        <v>1252.23</v>
      </c>
      <c r="Q721" s="3" t="str">
        <f t="shared" si="23"/>
        <v>29084855851252.23</v>
      </c>
      <c r="R721" t="s">
        <v>91</v>
      </c>
      <c r="AB721" t="s">
        <v>1404</v>
      </c>
    </row>
    <row r="722" spans="1:28" hidden="1">
      <c r="A722" t="s">
        <v>29</v>
      </c>
      <c r="B722" s="1" t="s">
        <v>851</v>
      </c>
      <c r="C722" s="1" t="s">
        <v>69</v>
      </c>
      <c r="D722" s="1" t="s">
        <v>1521</v>
      </c>
      <c r="E722" s="1" t="s">
        <v>334</v>
      </c>
      <c r="F722" s="1" t="s">
        <v>335</v>
      </c>
      <c r="G722" s="1" t="s">
        <v>877</v>
      </c>
      <c r="H722" s="1" t="s">
        <v>1506</v>
      </c>
      <c r="I722" s="1">
        <v>6</v>
      </c>
      <c r="J722" s="2">
        <v>453.69</v>
      </c>
      <c r="K722" s="2">
        <v>453.69269555</v>
      </c>
      <c r="L722" s="2">
        <v>327.64999999999998</v>
      </c>
      <c r="M722" s="2">
        <v>327.64999999999998</v>
      </c>
      <c r="N722" s="1" t="s">
        <v>45</v>
      </c>
      <c r="O722" s="2">
        <v>1.384687</v>
      </c>
      <c r="P722" s="3">
        <f t="shared" si="22"/>
        <v>327.64999999999998</v>
      </c>
      <c r="Q722" s="3" t="str">
        <f t="shared" si="23"/>
        <v>2908485586327.65</v>
      </c>
      <c r="R722" t="s">
        <v>91</v>
      </c>
      <c r="AB722" t="s">
        <v>1404</v>
      </c>
    </row>
    <row r="723" spans="1:28" hidden="1">
      <c r="A723" t="s">
        <v>29</v>
      </c>
      <c r="B723" s="1" t="s">
        <v>851</v>
      </c>
      <c r="C723" s="1" t="s">
        <v>69</v>
      </c>
      <c r="D723" s="1" t="s">
        <v>1522</v>
      </c>
      <c r="E723" s="1" t="s">
        <v>334</v>
      </c>
      <c r="F723" s="1" t="s">
        <v>335</v>
      </c>
      <c r="G723" s="1" t="s">
        <v>643</v>
      </c>
      <c r="H723" s="1" t="s">
        <v>1506</v>
      </c>
      <c r="I723" s="1">
        <v>6</v>
      </c>
      <c r="J723" s="2">
        <v>4696.08</v>
      </c>
      <c r="K723" s="2">
        <v>4696.0828792800003</v>
      </c>
      <c r="L723" s="2">
        <v>3391.44</v>
      </c>
      <c r="M723" s="2">
        <v>3391.44</v>
      </c>
      <c r="N723" s="1" t="s">
        <v>45</v>
      </c>
      <c r="O723" s="2">
        <v>1.384687</v>
      </c>
      <c r="P723" s="3">
        <f t="shared" si="22"/>
        <v>3391.44</v>
      </c>
      <c r="Q723" s="3" t="str">
        <f t="shared" si="23"/>
        <v>29084866443391.44</v>
      </c>
      <c r="R723" t="s">
        <v>91</v>
      </c>
      <c r="AB723" t="s">
        <v>1404</v>
      </c>
    </row>
    <row r="724" spans="1:28" hidden="1">
      <c r="A724" t="s">
        <v>29</v>
      </c>
      <c r="B724" s="1" t="s">
        <v>851</v>
      </c>
      <c r="C724" s="1" t="s">
        <v>69</v>
      </c>
      <c r="D724" s="1" t="s">
        <v>1523</v>
      </c>
      <c r="E724" s="1" t="s">
        <v>334</v>
      </c>
      <c r="F724" s="1" t="s">
        <v>335</v>
      </c>
      <c r="G724" s="1" t="s">
        <v>877</v>
      </c>
      <c r="H724" s="1" t="s">
        <v>1506</v>
      </c>
      <c r="I724" s="1">
        <v>6</v>
      </c>
      <c r="J724" s="2">
        <v>679.06</v>
      </c>
      <c r="K724" s="2">
        <v>679.06435166999995</v>
      </c>
      <c r="L724" s="2">
        <v>490.41</v>
      </c>
      <c r="M724" s="2">
        <v>490.41</v>
      </c>
      <c r="N724" s="1" t="s">
        <v>45</v>
      </c>
      <c r="O724" s="2">
        <v>1.384687</v>
      </c>
      <c r="P724" s="3">
        <f t="shared" si="22"/>
        <v>490.41</v>
      </c>
      <c r="Q724" s="3" t="str">
        <f t="shared" si="23"/>
        <v>2908486647490.41</v>
      </c>
      <c r="R724" t="s">
        <v>91</v>
      </c>
      <c r="AB724" t="s">
        <v>1404</v>
      </c>
    </row>
    <row r="725" spans="1:28" hidden="1">
      <c r="A725" t="s">
        <v>29</v>
      </c>
      <c r="B725" s="1" t="s">
        <v>1159</v>
      </c>
      <c r="C725" s="1" t="s">
        <v>69</v>
      </c>
      <c r="D725" s="1" t="s">
        <v>1524</v>
      </c>
      <c r="E725" s="1" t="s">
        <v>156</v>
      </c>
      <c r="F725" s="1" t="s">
        <v>156</v>
      </c>
      <c r="G725" s="1" t="s">
        <v>1525</v>
      </c>
      <c r="H725" s="1" t="s">
        <v>1506</v>
      </c>
      <c r="I725" s="1">
        <v>6</v>
      </c>
      <c r="J725" s="2">
        <v>824.64</v>
      </c>
      <c r="K725" s="2">
        <v>824.64</v>
      </c>
      <c r="L725" s="2">
        <v>824.64</v>
      </c>
      <c r="M725" s="2">
        <v>824.64</v>
      </c>
      <c r="N725" s="1" t="s">
        <v>36</v>
      </c>
      <c r="O725" s="2">
        <v>1</v>
      </c>
      <c r="P725" s="3">
        <f t="shared" si="22"/>
        <v>618.48</v>
      </c>
      <c r="Q725" s="3" t="str">
        <f t="shared" si="23"/>
        <v>2-705-29380824.64</v>
      </c>
      <c r="AB725" t="s">
        <v>1404</v>
      </c>
    </row>
    <row r="726" spans="1:28" hidden="1">
      <c r="A726" t="s">
        <v>29</v>
      </c>
      <c r="B726" s="1" t="s">
        <v>1506</v>
      </c>
      <c r="C726" s="1" t="s">
        <v>69</v>
      </c>
      <c r="D726" s="1" t="s">
        <v>1526</v>
      </c>
      <c r="E726" s="1" t="s">
        <v>628</v>
      </c>
      <c r="F726" s="1"/>
      <c r="G726" s="1" t="s">
        <v>1527</v>
      </c>
      <c r="H726" s="1" t="s">
        <v>1506</v>
      </c>
      <c r="I726" s="1">
        <v>6</v>
      </c>
      <c r="J726" s="2">
        <v>2690.34</v>
      </c>
      <c r="K726" s="2">
        <v>2690.3409000000001</v>
      </c>
      <c r="L726" s="2">
        <v>1950</v>
      </c>
      <c r="M726" s="2">
        <v>1950</v>
      </c>
      <c r="N726" s="1" t="s">
        <v>45</v>
      </c>
      <c r="O726" s="2">
        <v>1.3796619999999999</v>
      </c>
      <c r="P726" s="3">
        <f t="shared" si="22"/>
        <v>1950</v>
      </c>
      <c r="Q726" s="3" t="str">
        <f t="shared" si="23"/>
        <v>20260107M011950</v>
      </c>
    </row>
    <row r="727" spans="1:28" hidden="1">
      <c r="A727" t="s">
        <v>29</v>
      </c>
      <c r="B727" s="1" t="s">
        <v>1506</v>
      </c>
      <c r="C727" s="1" t="s">
        <v>69</v>
      </c>
      <c r="D727" s="1" t="s">
        <v>1528</v>
      </c>
      <c r="E727" s="1" t="s">
        <v>628</v>
      </c>
      <c r="F727" s="1"/>
      <c r="G727" s="1" t="s">
        <v>1529</v>
      </c>
      <c r="H727" s="1" t="s">
        <v>1506</v>
      </c>
      <c r="I727" s="1">
        <v>6</v>
      </c>
      <c r="J727" s="2">
        <v>8880.3700000000008</v>
      </c>
      <c r="K727" s="2">
        <v>8880.3738190599997</v>
      </c>
      <c r="L727" s="2">
        <v>6436.63</v>
      </c>
      <c r="M727" s="2">
        <v>6436.63</v>
      </c>
      <c r="N727" s="1" t="s">
        <v>45</v>
      </c>
      <c r="O727" s="2">
        <v>1.3796619999999999</v>
      </c>
      <c r="P727" s="3">
        <f t="shared" si="22"/>
        <v>6436.63</v>
      </c>
      <c r="Q727" s="3" t="str">
        <f t="shared" si="23"/>
        <v>20260107M026436.63</v>
      </c>
    </row>
    <row r="728" spans="1:28" hidden="1">
      <c r="A728" t="s">
        <v>29</v>
      </c>
      <c r="B728" s="1" t="s">
        <v>854</v>
      </c>
      <c r="C728" s="1" t="s">
        <v>69</v>
      </c>
      <c r="D728" s="1" t="s">
        <v>1530</v>
      </c>
      <c r="E728" s="1" t="s">
        <v>71</v>
      </c>
      <c r="F728" s="1" t="s">
        <v>72</v>
      </c>
      <c r="G728" s="1" t="s">
        <v>1239</v>
      </c>
      <c r="H728" s="1" t="s">
        <v>1531</v>
      </c>
      <c r="I728" s="1">
        <v>5</v>
      </c>
      <c r="J728" s="2">
        <v>1333241.3700000001</v>
      </c>
      <c r="K728" s="2">
        <v>1333241.3704540001</v>
      </c>
      <c r="L728" s="2">
        <v>962206.75</v>
      </c>
      <c r="M728" s="2">
        <v>962206.75</v>
      </c>
      <c r="N728" s="1" t="s">
        <v>45</v>
      </c>
      <c r="O728" s="2">
        <v>1.385608</v>
      </c>
      <c r="P728" s="3">
        <f t="shared" si="22"/>
        <v>962206.75</v>
      </c>
      <c r="Q728" s="3" t="str">
        <f t="shared" si="23"/>
        <v>91909226962206.75</v>
      </c>
      <c r="R728" t="s">
        <v>74</v>
      </c>
      <c r="S728" t="s">
        <v>60</v>
      </c>
      <c r="T728" t="s">
        <v>102</v>
      </c>
      <c r="AB728" t="s">
        <v>1404</v>
      </c>
    </row>
    <row r="729" spans="1:28" hidden="1">
      <c r="A729" t="s">
        <v>29</v>
      </c>
      <c r="B729" s="1" t="s">
        <v>854</v>
      </c>
      <c r="C729" s="1" t="s">
        <v>69</v>
      </c>
      <c r="D729" s="1" t="s">
        <v>1532</v>
      </c>
      <c r="E729" s="1" t="s">
        <v>1533</v>
      </c>
      <c r="F729" s="1" t="s">
        <v>636</v>
      </c>
      <c r="G729" s="1" t="s">
        <v>1534</v>
      </c>
      <c r="H729" s="1" t="s">
        <v>1531</v>
      </c>
      <c r="I729" s="1">
        <v>5</v>
      </c>
      <c r="J729" s="2">
        <v>3706.5</v>
      </c>
      <c r="K729" s="2">
        <v>3706.5014000000001</v>
      </c>
      <c r="L729" s="2">
        <v>2675</v>
      </c>
      <c r="M729" s="2">
        <v>2675</v>
      </c>
      <c r="N729" s="1" t="s">
        <v>45</v>
      </c>
      <c r="O729" s="2">
        <v>1.385608</v>
      </c>
      <c r="P729" s="3">
        <f t="shared" si="22"/>
        <v>2675</v>
      </c>
      <c r="Q729" s="3" t="str">
        <f t="shared" si="23"/>
        <v>INV-00252675</v>
      </c>
      <c r="AB729" t="s">
        <v>1404</v>
      </c>
    </row>
    <row r="730" spans="1:28" hidden="1">
      <c r="A730" t="s">
        <v>29</v>
      </c>
      <c r="B730" s="1" t="s">
        <v>854</v>
      </c>
      <c r="C730" s="1" t="s">
        <v>69</v>
      </c>
      <c r="D730" s="1" t="s">
        <v>1535</v>
      </c>
      <c r="E730" s="1" t="s">
        <v>550</v>
      </c>
      <c r="F730" s="1" t="s">
        <v>551</v>
      </c>
      <c r="G730" s="1" t="s">
        <v>1514</v>
      </c>
      <c r="H730" s="1" t="s">
        <v>1531</v>
      </c>
      <c r="I730" s="1">
        <v>5</v>
      </c>
      <c r="J730" s="2">
        <v>2119.48</v>
      </c>
      <c r="K730" s="2">
        <v>2119.48142112</v>
      </c>
      <c r="L730" s="2">
        <v>1529.64</v>
      </c>
      <c r="M730" s="2">
        <v>1529.64</v>
      </c>
      <c r="N730" s="1" t="s">
        <v>45</v>
      </c>
      <c r="O730" s="2">
        <v>1.385608</v>
      </c>
      <c r="P730" s="3">
        <f t="shared" si="22"/>
        <v>1529.64</v>
      </c>
      <c r="Q730" s="3" t="str">
        <f t="shared" si="23"/>
        <v>330-134502621529.64</v>
      </c>
      <c r="R730" t="s">
        <v>74</v>
      </c>
      <c r="S730" t="s">
        <v>155</v>
      </c>
      <c r="AB730" t="s">
        <v>1404</v>
      </c>
    </row>
    <row r="731" spans="1:28" hidden="1">
      <c r="A731" t="s">
        <v>29</v>
      </c>
      <c r="B731" s="1" t="s">
        <v>854</v>
      </c>
      <c r="C731" s="1" t="s">
        <v>69</v>
      </c>
      <c r="D731" s="1" t="s">
        <v>1536</v>
      </c>
      <c r="E731" s="1" t="s">
        <v>1537</v>
      </c>
      <c r="F731" s="1" t="s">
        <v>1538</v>
      </c>
      <c r="G731" s="1" t="s">
        <v>1539</v>
      </c>
      <c r="H731" s="1" t="s">
        <v>1531</v>
      </c>
      <c r="I731" s="1">
        <v>5</v>
      </c>
      <c r="J731" s="2">
        <v>13644.75</v>
      </c>
      <c r="K731" s="2">
        <v>13644.75</v>
      </c>
      <c r="L731" s="2">
        <v>13644.75</v>
      </c>
      <c r="M731" s="2">
        <v>13644.75</v>
      </c>
      <c r="N731" s="1" t="s">
        <v>36</v>
      </c>
      <c r="O731" s="2">
        <v>1</v>
      </c>
      <c r="P731" s="3">
        <f t="shared" si="22"/>
        <v>10233.5625</v>
      </c>
      <c r="Q731" s="3" t="str">
        <f t="shared" si="23"/>
        <v>204733413644.75</v>
      </c>
      <c r="R731" t="s">
        <v>74</v>
      </c>
      <c r="AB731" t="s">
        <v>1404</v>
      </c>
    </row>
    <row r="732" spans="1:28" hidden="1">
      <c r="A732" t="s">
        <v>29</v>
      </c>
      <c r="B732" s="1" t="s">
        <v>854</v>
      </c>
      <c r="C732" s="1" t="s">
        <v>69</v>
      </c>
      <c r="D732" s="1" t="s">
        <v>1540</v>
      </c>
      <c r="E732" s="1" t="s">
        <v>616</v>
      </c>
      <c r="F732" s="1" t="s">
        <v>222</v>
      </c>
      <c r="G732" s="1" t="s">
        <v>1408</v>
      </c>
      <c r="H732" s="1" t="s">
        <v>1531</v>
      </c>
      <c r="I732" s="1">
        <v>5</v>
      </c>
      <c r="J732" s="2">
        <v>75</v>
      </c>
      <c r="K732" s="2">
        <v>75</v>
      </c>
      <c r="L732" s="2">
        <v>75</v>
      </c>
      <c r="M732" s="2">
        <v>75</v>
      </c>
      <c r="N732" s="1" t="s">
        <v>36</v>
      </c>
      <c r="O732" s="2">
        <v>1</v>
      </c>
      <c r="P732" s="3">
        <f t="shared" si="22"/>
        <v>56.25</v>
      </c>
      <c r="Q732" s="3" t="str">
        <f t="shared" si="23"/>
        <v>FGL000525475</v>
      </c>
      <c r="AB732" t="s">
        <v>1404</v>
      </c>
    </row>
    <row r="733" spans="1:28" hidden="1">
      <c r="A733" t="s">
        <v>29</v>
      </c>
      <c r="B733" s="1" t="s">
        <v>854</v>
      </c>
      <c r="C733" s="1" t="s">
        <v>69</v>
      </c>
      <c r="D733" s="1" t="s">
        <v>1541</v>
      </c>
      <c r="E733" s="1" t="s">
        <v>616</v>
      </c>
      <c r="F733" s="1" t="s">
        <v>222</v>
      </c>
      <c r="G733" s="1" t="s">
        <v>1542</v>
      </c>
      <c r="H733" s="1" t="s">
        <v>1531</v>
      </c>
      <c r="I733" s="1">
        <v>5</v>
      </c>
      <c r="J733" s="2">
        <v>2866.48</v>
      </c>
      <c r="K733" s="2">
        <v>2866.48</v>
      </c>
      <c r="L733" s="2">
        <v>2866.48</v>
      </c>
      <c r="M733" s="2">
        <v>2866.48</v>
      </c>
      <c r="N733" s="1" t="s">
        <v>36</v>
      </c>
      <c r="O733" s="2">
        <v>1</v>
      </c>
      <c r="P733" s="3">
        <f t="shared" si="22"/>
        <v>2149.86</v>
      </c>
      <c r="Q733" s="3" t="str">
        <f t="shared" si="23"/>
        <v>FGL00052712866.48</v>
      </c>
      <c r="AB733" t="s">
        <v>1404</v>
      </c>
    </row>
    <row r="734" spans="1:28" hidden="1">
      <c r="A734" t="s">
        <v>29</v>
      </c>
      <c r="B734" s="1" t="s">
        <v>854</v>
      </c>
      <c r="C734" s="1" t="s">
        <v>69</v>
      </c>
      <c r="D734" s="1" t="s">
        <v>1543</v>
      </c>
      <c r="E734" s="1" t="s">
        <v>616</v>
      </c>
      <c r="F734" s="1" t="s">
        <v>222</v>
      </c>
      <c r="G734" s="1" t="s">
        <v>1544</v>
      </c>
      <c r="H734" s="1" t="s">
        <v>1531</v>
      </c>
      <c r="I734" s="1">
        <v>5</v>
      </c>
      <c r="J734" s="2">
        <v>2740.99</v>
      </c>
      <c r="K734" s="2">
        <v>2740.99</v>
      </c>
      <c r="L734" s="2">
        <v>2740.99</v>
      </c>
      <c r="M734" s="2">
        <v>2740.99</v>
      </c>
      <c r="N734" s="1" t="s">
        <v>36</v>
      </c>
      <c r="O734" s="2">
        <v>1</v>
      </c>
      <c r="P734" s="3">
        <f t="shared" si="22"/>
        <v>2055.7424999999998</v>
      </c>
      <c r="Q734" s="3" t="str">
        <f t="shared" si="23"/>
        <v>FGL00052732740.99</v>
      </c>
      <c r="AB734" t="s">
        <v>1404</v>
      </c>
    </row>
    <row r="735" spans="1:28" hidden="1">
      <c r="A735" t="s">
        <v>29</v>
      </c>
      <c r="B735" s="1" t="s">
        <v>854</v>
      </c>
      <c r="C735" s="1" t="s">
        <v>69</v>
      </c>
      <c r="D735" s="1" t="s">
        <v>1545</v>
      </c>
      <c r="E735" s="1" t="s">
        <v>334</v>
      </c>
      <c r="F735" s="1" t="s">
        <v>335</v>
      </c>
      <c r="G735" s="1" t="s">
        <v>1546</v>
      </c>
      <c r="H735" s="1" t="s">
        <v>1531</v>
      </c>
      <c r="I735" s="1">
        <v>5</v>
      </c>
      <c r="J735" s="2">
        <v>1429.03</v>
      </c>
      <c r="K735" s="2">
        <v>1429.0329547199999</v>
      </c>
      <c r="L735" s="2">
        <v>1031.3399999999999</v>
      </c>
      <c r="M735" s="2">
        <v>1031.3399999999999</v>
      </c>
      <c r="N735" s="1" t="s">
        <v>45</v>
      </c>
      <c r="O735" s="2">
        <v>1.385608</v>
      </c>
      <c r="P735" s="3">
        <f t="shared" si="22"/>
        <v>1031.3399999999999</v>
      </c>
      <c r="Q735" s="3" t="str">
        <f t="shared" si="23"/>
        <v>29084890201031.34</v>
      </c>
      <c r="R735" t="s">
        <v>91</v>
      </c>
      <c r="AB735" t="s">
        <v>1404</v>
      </c>
    </row>
    <row r="736" spans="1:28" hidden="1">
      <c r="A736" t="s">
        <v>29</v>
      </c>
      <c r="B736" s="1" t="s">
        <v>854</v>
      </c>
      <c r="C736" s="1" t="s">
        <v>69</v>
      </c>
      <c r="D736" s="1" t="s">
        <v>1547</v>
      </c>
      <c r="E736" s="1" t="s">
        <v>334</v>
      </c>
      <c r="F736" s="1" t="s">
        <v>335</v>
      </c>
      <c r="G736" s="1" t="s">
        <v>1548</v>
      </c>
      <c r="H736" s="1" t="s">
        <v>1531</v>
      </c>
      <c r="I736" s="1">
        <v>5</v>
      </c>
      <c r="J736" s="2">
        <v>184.9</v>
      </c>
      <c r="K736" s="2">
        <v>184.89553151999999</v>
      </c>
      <c r="L736" s="2">
        <v>133.44</v>
      </c>
      <c r="M736" s="2">
        <v>133.44</v>
      </c>
      <c r="N736" s="1" t="s">
        <v>45</v>
      </c>
      <c r="O736" s="2">
        <v>1.385608</v>
      </c>
      <c r="P736" s="3">
        <f t="shared" si="22"/>
        <v>133.44</v>
      </c>
      <c r="Q736" s="3" t="str">
        <f t="shared" si="23"/>
        <v>2908487494133.44</v>
      </c>
      <c r="R736" t="s">
        <v>91</v>
      </c>
      <c r="AB736" t="s">
        <v>1404</v>
      </c>
    </row>
    <row r="737" spans="1:28" hidden="1">
      <c r="A737" t="s">
        <v>29</v>
      </c>
      <c r="B737" s="1" t="s">
        <v>854</v>
      </c>
      <c r="C737" s="1" t="s">
        <v>69</v>
      </c>
      <c r="D737" s="1" t="s">
        <v>1549</v>
      </c>
      <c r="E737" s="1" t="s">
        <v>334</v>
      </c>
      <c r="F737" s="1" t="s">
        <v>335</v>
      </c>
      <c r="G737" s="1" t="s">
        <v>1550</v>
      </c>
      <c r="H737" s="1" t="s">
        <v>1531</v>
      </c>
      <c r="I737" s="1">
        <v>5</v>
      </c>
      <c r="J737" s="2">
        <v>2680.69</v>
      </c>
      <c r="K737" s="2">
        <v>2680.69422936</v>
      </c>
      <c r="L737" s="2">
        <v>1934.67</v>
      </c>
      <c r="M737" s="2">
        <v>1934.67</v>
      </c>
      <c r="N737" s="1" t="s">
        <v>45</v>
      </c>
      <c r="O737" s="2">
        <v>1.385608</v>
      </c>
      <c r="P737" s="3">
        <f t="shared" si="22"/>
        <v>1934.67</v>
      </c>
      <c r="Q737" s="3" t="str">
        <f t="shared" si="23"/>
        <v>29084874961934.67</v>
      </c>
      <c r="R737" t="s">
        <v>91</v>
      </c>
      <c r="AB737" t="s">
        <v>1404</v>
      </c>
    </row>
    <row r="738" spans="1:28" hidden="1">
      <c r="A738" t="s">
        <v>29</v>
      </c>
      <c r="B738" s="1" t="s">
        <v>854</v>
      </c>
      <c r="C738" s="1" t="s">
        <v>69</v>
      </c>
      <c r="D738" s="1" t="s">
        <v>1551</v>
      </c>
      <c r="E738" s="1" t="s">
        <v>334</v>
      </c>
      <c r="F738" s="1" t="s">
        <v>335</v>
      </c>
      <c r="G738" s="1" t="s">
        <v>1552</v>
      </c>
      <c r="H738" s="1" t="s">
        <v>1531</v>
      </c>
      <c r="I738" s="1">
        <v>5</v>
      </c>
      <c r="J738" s="2">
        <v>66.25</v>
      </c>
      <c r="K738" s="2">
        <v>66.24591848</v>
      </c>
      <c r="L738" s="2">
        <v>47.81</v>
      </c>
      <c r="M738" s="2">
        <v>47.81</v>
      </c>
      <c r="N738" s="1" t="s">
        <v>45</v>
      </c>
      <c r="O738" s="2">
        <v>1.385608</v>
      </c>
      <c r="P738" s="3">
        <f t="shared" si="22"/>
        <v>47.81</v>
      </c>
      <c r="Q738" s="3" t="str">
        <f t="shared" si="23"/>
        <v>290848780347.81</v>
      </c>
      <c r="R738" t="s">
        <v>91</v>
      </c>
      <c r="AB738" t="s">
        <v>1404</v>
      </c>
    </row>
    <row r="739" spans="1:28" hidden="1">
      <c r="A739" t="s">
        <v>29</v>
      </c>
      <c r="B739" s="1" t="s">
        <v>854</v>
      </c>
      <c r="C739" s="1" t="s">
        <v>69</v>
      </c>
      <c r="D739" s="1" t="s">
        <v>1553</v>
      </c>
      <c r="E739" s="1" t="s">
        <v>334</v>
      </c>
      <c r="F739" s="1" t="s">
        <v>335</v>
      </c>
      <c r="G739" s="1" t="s">
        <v>1554</v>
      </c>
      <c r="H739" s="1" t="s">
        <v>1531</v>
      </c>
      <c r="I739" s="1">
        <v>5</v>
      </c>
      <c r="J739" s="2">
        <v>1287.1600000000001</v>
      </c>
      <c r="K739" s="2">
        <v>1287.1605516</v>
      </c>
      <c r="L739" s="2">
        <v>928.95</v>
      </c>
      <c r="M739" s="2">
        <v>928.95</v>
      </c>
      <c r="N739" s="1" t="s">
        <v>45</v>
      </c>
      <c r="O739" s="2">
        <v>1.385608</v>
      </c>
      <c r="P739" s="3">
        <f t="shared" si="22"/>
        <v>928.95</v>
      </c>
      <c r="Q739" s="3" t="str">
        <f t="shared" si="23"/>
        <v>2908488053928.95</v>
      </c>
      <c r="R739" t="s">
        <v>91</v>
      </c>
      <c r="AB739" t="s">
        <v>1404</v>
      </c>
    </row>
    <row r="740" spans="1:28" hidden="1">
      <c r="A740" t="s">
        <v>29</v>
      </c>
      <c r="B740" s="1" t="s">
        <v>854</v>
      </c>
      <c r="C740" s="1" t="s">
        <v>69</v>
      </c>
      <c r="D740" s="1" t="s">
        <v>1555</v>
      </c>
      <c r="E740" s="1" t="s">
        <v>334</v>
      </c>
      <c r="F740" s="1" t="s">
        <v>335</v>
      </c>
      <c r="G740" s="1" t="s">
        <v>1554</v>
      </c>
      <c r="H740" s="1" t="s">
        <v>1531</v>
      </c>
      <c r="I740" s="1">
        <v>5</v>
      </c>
      <c r="J740" s="2">
        <v>7242.42</v>
      </c>
      <c r="K740" s="2">
        <v>7242.4205991199997</v>
      </c>
      <c r="L740" s="2">
        <v>5226.8900000000003</v>
      </c>
      <c r="M740" s="2">
        <v>5226.8900000000003</v>
      </c>
      <c r="N740" s="1" t="s">
        <v>45</v>
      </c>
      <c r="O740" s="2">
        <v>1.385608</v>
      </c>
      <c r="P740" s="3">
        <f t="shared" si="22"/>
        <v>5226.8900000000003</v>
      </c>
      <c r="Q740" s="3" t="str">
        <f t="shared" si="23"/>
        <v>29084881275226.89</v>
      </c>
      <c r="R740" t="s">
        <v>91</v>
      </c>
      <c r="AB740" t="s">
        <v>1404</v>
      </c>
    </row>
    <row r="741" spans="1:28" hidden="1">
      <c r="A741" t="s">
        <v>29</v>
      </c>
      <c r="B741" s="1" t="s">
        <v>854</v>
      </c>
      <c r="C741" s="1" t="s">
        <v>69</v>
      </c>
      <c r="D741" s="1" t="s">
        <v>1556</v>
      </c>
      <c r="E741" s="1" t="s">
        <v>334</v>
      </c>
      <c r="F741" s="1" t="s">
        <v>335</v>
      </c>
      <c r="G741" s="1" t="s">
        <v>860</v>
      </c>
      <c r="H741" s="1" t="s">
        <v>1531</v>
      </c>
      <c r="I741" s="1">
        <v>5</v>
      </c>
      <c r="J741" s="2">
        <v>395.69</v>
      </c>
      <c r="K741" s="2">
        <v>395.68807656000001</v>
      </c>
      <c r="L741" s="2">
        <v>285.57</v>
      </c>
      <c r="M741" s="2">
        <v>285.57</v>
      </c>
      <c r="N741" s="1" t="s">
        <v>45</v>
      </c>
      <c r="O741" s="2">
        <v>1.385608</v>
      </c>
      <c r="P741" s="3">
        <f t="shared" si="22"/>
        <v>285.57</v>
      </c>
      <c r="Q741" s="3" t="str">
        <f t="shared" si="23"/>
        <v>2908488427285.57</v>
      </c>
      <c r="R741" t="s">
        <v>91</v>
      </c>
      <c r="AB741" t="s">
        <v>1404</v>
      </c>
    </row>
    <row r="742" spans="1:28" hidden="1">
      <c r="A742" t="s">
        <v>29</v>
      </c>
      <c r="B742" s="1" t="s">
        <v>854</v>
      </c>
      <c r="C742" s="1" t="s">
        <v>69</v>
      </c>
      <c r="D742" s="1" t="s">
        <v>1557</v>
      </c>
      <c r="E742" s="1" t="s">
        <v>334</v>
      </c>
      <c r="F742" s="1" t="s">
        <v>335</v>
      </c>
      <c r="G742" s="1" t="s">
        <v>1558</v>
      </c>
      <c r="H742" s="1" t="s">
        <v>1531</v>
      </c>
      <c r="I742" s="1">
        <v>5</v>
      </c>
      <c r="J742" s="2">
        <v>13140.26</v>
      </c>
      <c r="K742" s="2">
        <v>13140.26105112</v>
      </c>
      <c r="L742" s="2">
        <v>9483.39</v>
      </c>
      <c r="M742" s="2">
        <v>9483.39</v>
      </c>
      <c r="N742" s="1" t="s">
        <v>45</v>
      </c>
      <c r="O742" s="2">
        <v>1.385608</v>
      </c>
      <c r="P742" s="3">
        <f t="shared" si="22"/>
        <v>9483.39</v>
      </c>
      <c r="Q742" s="3" t="str">
        <f t="shared" si="23"/>
        <v>29084890199483.39</v>
      </c>
      <c r="R742" t="s">
        <v>91</v>
      </c>
      <c r="AB742" t="s">
        <v>1404</v>
      </c>
    </row>
    <row r="743" spans="1:28">
      <c r="A743" t="s">
        <v>29</v>
      </c>
      <c r="B743" s="1" t="s">
        <v>1316</v>
      </c>
      <c r="C743" s="1" t="s">
        <v>69</v>
      </c>
      <c r="D743" s="1" t="s">
        <v>1559</v>
      </c>
      <c r="E743" s="1" t="s">
        <v>795</v>
      </c>
      <c r="F743" s="1" t="s">
        <v>796</v>
      </c>
      <c r="G743" s="1" t="s">
        <v>1560</v>
      </c>
      <c r="H743" s="1" t="s">
        <v>1531</v>
      </c>
      <c r="I743" s="1">
        <v>5</v>
      </c>
      <c r="J743" s="2">
        <v>20557.55</v>
      </c>
      <c r="K743" s="2">
        <v>20557.553379749999</v>
      </c>
      <c r="L743" s="2">
        <v>15019.25</v>
      </c>
      <c r="M743" s="2">
        <v>15019.25</v>
      </c>
      <c r="N743" s="1" t="s">
        <v>45</v>
      </c>
      <c r="O743" s="2">
        <v>1.3687469999999999</v>
      </c>
      <c r="P743" s="3">
        <f t="shared" si="22"/>
        <v>15019.25</v>
      </c>
      <c r="Q743" s="3" t="str">
        <f t="shared" si="23"/>
        <v>11965715019.25</v>
      </c>
      <c r="R743" t="s">
        <v>202</v>
      </c>
      <c r="AB743" t="s">
        <v>1404</v>
      </c>
    </row>
    <row r="744" spans="1:28" hidden="1">
      <c r="A744" t="s">
        <v>29</v>
      </c>
      <c r="B744" s="1" t="s">
        <v>872</v>
      </c>
      <c r="C744" s="1" t="s">
        <v>69</v>
      </c>
      <c r="D744" s="1" t="s">
        <v>1561</v>
      </c>
      <c r="E744" s="1" t="s">
        <v>71</v>
      </c>
      <c r="F744" s="1" t="s">
        <v>72</v>
      </c>
      <c r="G744" s="1" t="s">
        <v>1239</v>
      </c>
      <c r="H744" s="1" t="s">
        <v>1562</v>
      </c>
      <c r="I744" s="1">
        <v>4</v>
      </c>
      <c r="J744" s="2">
        <v>1742831.17</v>
      </c>
      <c r="K744" s="2">
        <v>1742831.17469912</v>
      </c>
      <c r="L744" s="2">
        <v>1261739.8600000001</v>
      </c>
      <c r="M744" s="2">
        <v>1261739.8600000001</v>
      </c>
      <c r="N744" s="1" t="s">
        <v>45</v>
      </c>
      <c r="O744" s="2">
        <v>1.381292</v>
      </c>
      <c r="P744" s="3">
        <f t="shared" si="22"/>
        <v>1261739.8600000001</v>
      </c>
      <c r="Q744" s="3" t="str">
        <f t="shared" si="23"/>
        <v>919092281261739.86</v>
      </c>
      <c r="R744" t="s">
        <v>74</v>
      </c>
      <c r="S744" t="s">
        <v>60</v>
      </c>
      <c r="T744" t="s">
        <v>102</v>
      </c>
      <c r="AB744" t="s">
        <v>1404</v>
      </c>
    </row>
    <row r="745" spans="1:28" hidden="1">
      <c r="A745" t="s">
        <v>29</v>
      </c>
      <c r="B745" s="1" t="s">
        <v>872</v>
      </c>
      <c r="C745" s="1" t="s">
        <v>69</v>
      </c>
      <c r="D745" s="1" t="s">
        <v>1563</v>
      </c>
      <c r="E745" s="1" t="s">
        <v>71</v>
      </c>
      <c r="F745" s="1" t="s">
        <v>72</v>
      </c>
      <c r="G745" s="1" t="s">
        <v>1239</v>
      </c>
      <c r="H745" s="1" t="s">
        <v>1562</v>
      </c>
      <c r="I745" s="1">
        <v>4</v>
      </c>
      <c r="J745" s="2">
        <v>504265.55</v>
      </c>
      <c r="K745" s="2">
        <v>504265.54929475999</v>
      </c>
      <c r="L745" s="2">
        <v>365068.03</v>
      </c>
      <c r="M745" s="2">
        <v>365068.03</v>
      </c>
      <c r="N745" s="1" t="s">
        <v>45</v>
      </c>
      <c r="O745" s="2">
        <v>1.381292</v>
      </c>
      <c r="P745" s="3">
        <f t="shared" si="22"/>
        <v>365068.03</v>
      </c>
      <c r="Q745" s="3" t="str">
        <f t="shared" si="23"/>
        <v>91909229365068.03</v>
      </c>
      <c r="R745" t="s">
        <v>74</v>
      </c>
      <c r="S745" t="s">
        <v>60</v>
      </c>
      <c r="T745" t="s">
        <v>102</v>
      </c>
      <c r="AB745" t="s">
        <v>1404</v>
      </c>
    </row>
    <row r="746" spans="1:28" hidden="1">
      <c r="A746" t="s">
        <v>29</v>
      </c>
      <c r="B746" s="1" t="s">
        <v>872</v>
      </c>
      <c r="C746" s="1" t="s">
        <v>69</v>
      </c>
      <c r="D746" s="1" t="s">
        <v>1564</v>
      </c>
      <c r="E746" s="1" t="s">
        <v>550</v>
      </c>
      <c r="F746" s="1" t="s">
        <v>551</v>
      </c>
      <c r="G746" s="1" t="s">
        <v>1565</v>
      </c>
      <c r="H746" s="1" t="s">
        <v>1562</v>
      </c>
      <c r="I746" s="1">
        <v>4</v>
      </c>
      <c r="J746" s="2">
        <v>483.45</v>
      </c>
      <c r="K746" s="2">
        <v>483.4522</v>
      </c>
      <c r="L746" s="2">
        <v>350</v>
      </c>
      <c r="M746" s="2">
        <v>350</v>
      </c>
      <c r="N746" s="1" t="s">
        <v>45</v>
      </c>
      <c r="O746" s="2">
        <v>1.381292</v>
      </c>
      <c r="P746" s="3">
        <f t="shared" si="22"/>
        <v>350</v>
      </c>
      <c r="Q746" s="3" t="str">
        <f t="shared" si="23"/>
        <v>330-13453815350</v>
      </c>
      <c r="R746" t="s">
        <v>74</v>
      </c>
      <c r="S746" t="s">
        <v>155</v>
      </c>
      <c r="AB746" t="s">
        <v>1404</v>
      </c>
    </row>
    <row r="747" spans="1:28" hidden="1">
      <c r="A747" t="s">
        <v>29</v>
      </c>
      <c r="B747" s="1" t="s">
        <v>872</v>
      </c>
      <c r="C747" s="1" t="s">
        <v>69</v>
      </c>
      <c r="D747" s="1" t="s">
        <v>1566</v>
      </c>
      <c r="E747" s="1" t="s">
        <v>616</v>
      </c>
      <c r="F747" s="1" t="s">
        <v>222</v>
      </c>
      <c r="G747" s="1" t="s">
        <v>1567</v>
      </c>
      <c r="H747" s="1" t="s">
        <v>1562</v>
      </c>
      <c r="I747" s="1">
        <v>4</v>
      </c>
      <c r="J747" s="2">
        <v>75</v>
      </c>
      <c r="K747" s="2">
        <v>75</v>
      </c>
      <c r="L747" s="2">
        <v>75</v>
      </c>
      <c r="M747" s="2">
        <v>75</v>
      </c>
      <c r="N747" s="1" t="s">
        <v>36</v>
      </c>
      <c r="O747" s="2">
        <v>1</v>
      </c>
      <c r="P747" s="3">
        <f t="shared" si="22"/>
        <v>56.25</v>
      </c>
      <c r="Q747" s="3" t="str">
        <f t="shared" si="23"/>
        <v>FGL000531775</v>
      </c>
      <c r="AB747" t="s">
        <v>1404</v>
      </c>
    </row>
    <row r="748" spans="1:28" hidden="1">
      <c r="A748" t="s">
        <v>29</v>
      </c>
      <c r="B748" s="1" t="s">
        <v>872</v>
      </c>
      <c r="C748" s="1" t="s">
        <v>69</v>
      </c>
      <c r="D748" s="1" t="s">
        <v>1568</v>
      </c>
      <c r="E748" s="1" t="s">
        <v>334</v>
      </c>
      <c r="F748" s="1" t="s">
        <v>335</v>
      </c>
      <c r="G748" s="1" t="s">
        <v>1552</v>
      </c>
      <c r="H748" s="1" t="s">
        <v>1562</v>
      </c>
      <c r="I748" s="1">
        <v>4</v>
      </c>
      <c r="J748" s="2">
        <v>99.07</v>
      </c>
      <c r="K748" s="2">
        <v>99.06626224</v>
      </c>
      <c r="L748" s="2">
        <v>71.72</v>
      </c>
      <c r="M748" s="2">
        <v>71.72</v>
      </c>
      <c r="N748" s="1" t="s">
        <v>45</v>
      </c>
      <c r="O748" s="2">
        <v>1.381292</v>
      </c>
      <c r="P748" s="3">
        <f t="shared" si="22"/>
        <v>71.72</v>
      </c>
      <c r="Q748" s="3" t="str">
        <f t="shared" si="23"/>
        <v>290848987671.72</v>
      </c>
      <c r="R748" t="s">
        <v>91</v>
      </c>
      <c r="AB748" t="s">
        <v>1404</v>
      </c>
    </row>
    <row r="749" spans="1:28" hidden="1">
      <c r="A749" t="s">
        <v>29</v>
      </c>
      <c r="B749" s="1" t="s">
        <v>872</v>
      </c>
      <c r="C749" s="1" t="s">
        <v>69</v>
      </c>
      <c r="D749" s="1" t="s">
        <v>1569</v>
      </c>
      <c r="E749" s="1" t="s">
        <v>334</v>
      </c>
      <c r="F749" s="1" t="s">
        <v>335</v>
      </c>
      <c r="G749" s="1" t="s">
        <v>1570</v>
      </c>
      <c r="H749" s="1" t="s">
        <v>1562</v>
      </c>
      <c r="I749" s="1">
        <v>4</v>
      </c>
      <c r="J749" s="2">
        <v>498.26</v>
      </c>
      <c r="K749" s="2">
        <v>498.25965023999998</v>
      </c>
      <c r="L749" s="2">
        <v>360.72</v>
      </c>
      <c r="M749" s="2">
        <v>360.72</v>
      </c>
      <c r="N749" s="1" t="s">
        <v>45</v>
      </c>
      <c r="O749" s="2">
        <v>1.381292</v>
      </c>
      <c r="P749" s="3">
        <f t="shared" si="22"/>
        <v>360.72</v>
      </c>
      <c r="Q749" s="3" t="str">
        <f t="shared" si="23"/>
        <v>2908489880360.72</v>
      </c>
      <c r="R749" t="s">
        <v>91</v>
      </c>
      <c r="AB749" t="s">
        <v>1404</v>
      </c>
    </row>
    <row r="750" spans="1:28" hidden="1">
      <c r="A750" t="s">
        <v>29</v>
      </c>
      <c r="B750" s="1" t="s">
        <v>872</v>
      </c>
      <c r="C750" s="1" t="s">
        <v>69</v>
      </c>
      <c r="D750" s="1" t="s">
        <v>1571</v>
      </c>
      <c r="E750" s="1" t="s">
        <v>334</v>
      </c>
      <c r="F750" s="1" t="s">
        <v>335</v>
      </c>
      <c r="G750" s="1" t="s">
        <v>1014</v>
      </c>
      <c r="H750" s="1" t="s">
        <v>1562</v>
      </c>
      <c r="I750" s="1">
        <v>4</v>
      </c>
      <c r="J750" s="2">
        <v>2289.84</v>
      </c>
      <c r="K750" s="2">
        <v>2289.8368129999999</v>
      </c>
      <c r="L750" s="2">
        <v>1657.75</v>
      </c>
      <c r="M750" s="2">
        <v>1657.75</v>
      </c>
      <c r="N750" s="1" t="s">
        <v>45</v>
      </c>
      <c r="O750" s="2">
        <v>1.381292</v>
      </c>
      <c r="P750" s="3">
        <f t="shared" si="22"/>
        <v>1657.75</v>
      </c>
      <c r="Q750" s="3" t="str">
        <f t="shared" si="23"/>
        <v>29084908971657.75</v>
      </c>
      <c r="R750" t="s">
        <v>91</v>
      </c>
      <c r="AB750" t="s">
        <v>1404</v>
      </c>
    </row>
    <row r="751" spans="1:28" hidden="1">
      <c r="A751" t="s">
        <v>29</v>
      </c>
      <c r="B751" s="1" t="s">
        <v>872</v>
      </c>
      <c r="C751" s="1" t="s">
        <v>69</v>
      </c>
      <c r="D751" s="1" t="s">
        <v>1572</v>
      </c>
      <c r="E751" s="1" t="s">
        <v>334</v>
      </c>
      <c r="F751" s="1" t="s">
        <v>335</v>
      </c>
      <c r="G751" s="1" t="s">
        <v>1573</v>
      </c>
      <c r="H751" s="1" t="s">
        <v>1562</v>
      </c>
      <c r="I751" s="1">
        <v>4</v>
      </c>
      <c r="J751" s="2">
        <v>11016.19</v>
      </c>
      <c r="K751" s="2">
        <v>11016.190461759999</v>
      </c>
      <c r="L751" s="2">
        <v>7975.28</v>
      </c>
      <c r="M751" s="2">
        <v>7975.28</v>
      </c>
      <c r="N751" s="1" t="s">
        <v>45</v>
      </c>
      <c r="O751" s="2">
        <v>1.381292</v>
      </c>
      <c r="P751" s="3">
        <f t="shared" si="22"/>
        <v>7975.28</v>
      </c>
      <c r="Q751" s="3" t="str">
        <f t="shared" si="23"/>
        <v>29084908987975.28</v>
      </c>
      <c r="R751" t="s">
        <v>91</v>
      </c>
      <c r="AB751" t="s">
        <v>1404</v>
      </c>
    </row>
    <row r="752" spans="1:28" hidden="1">
      <c r="A752" t="s">
        <v>29</v>
      </c>
      <c r="B752" s="1" t="s">
        <v>872</v>
      </c>
      <c r="C752" s="1" t="s">
        <v>69</v>
      </c>
      <c r="D752" s="1" t="s">
        <v>1574</v>
      </c>
      <c r="E752" s="1" t="s">
        <v>334</v>
      </c>
      <c r="F752" s="1" t="s">
        <v>335</v>
      </c>
      <c r="G752" s="1" t="s">
        <v>1220</v>
      </c>
      <c r="H752" s="1" t="s">
        <v>1562</v>
      </c>
      <c r="I752" s="1">
        <v>4</v>
      </c>
      <c r="J752" s="2">
        <v>822.37</v>
      </c>
      <c r="K752" s="2">
        <v>822.36600511999995</v>
      </c>
      <c r="L752" s="2">
        <v>595.36</v>
      </c>
      <c r="M752" s="2">
        <v>595.36</v>
      </c>
      <c r="N752" s="1" t="s">
        <v>45</v>
      </c>
      <c r="O752" s="2">
        <v>1.381292</v>
      </c>
      <c r="P752" s="3">
        <f t="shared" si="22"/>
        <v>595.36</v>
      </c>
      <c r="Q752" s="3" t="str">
        <f t="shared" si="23"/>
        <v>2908491251595.36</v>
      </c>
      <c r="R752" t="s">
        <v>91</v>
      </c>
      <c r="AB752" t="s">
        <v>1404</v>
      </c>
    </row>
    <row r="753" spans="1:28" hidden="1">
      <c r="A753" t="s">
        <v>29</v>
      </c>
      <c r="B753" s="1" t="s">
        <v>872</v>
      </c>
      <c r="C753" s="1" t="s">
        <v>69</v>
      </c>
      <c r="D753" s="1" t="s">
        <v>1575</v>
      </c>
      <c r="E753" s="1" t="s">
        <v>334</v>
      </c>
      <c r="F753" s="1" t="s">
        <v>335</v>
      </c>
      <c r="G753" s="1" t="s">
        <v>1576</v>
      </c>
      <c r="H753" s="1" t="s">
        <v>1562</v>
      </c>
      <c r="I753" s="1">
        <v>4</v>
      </c>
      <c r="J753" s="2">
        <v>1633.28</v>
      </c>
      <c r="K753" s="2">
        <v>1633.28109956</v>
      </c>
      <c r="L753" s="2">
        <v>1182.43</v>
      </c>
      <c r="M753" s="2">
        <v>1182.43</v>
      </c>
      <c r="N753" s="1" t="s">
        <v>45</v>
      </c>
      <c r="O753" s="2">
        <v>1.381292</v>
      </c>
      <c r="P753" s="3">
        <f t="shared" si="22"/>
        <v>1182.43</v>
      </c>
      <c r="Q753" s="3" t="str">
        <f t="shared" si="23"/>
        <v>29084912571182.43</v>
      </c>
      <c r="R753" t="s">
        <v>91</v>
      </c>
      <c r="AB753" t="s">
        <v>1404</v>
      </c>
    </row>
    <row r="754" spans="1:28" hidden="1">
      <c r="A754" t="s">
        <v>29</v>
      </c>
      <c r="B754" s="1" t="s">
        <v>872</v>
      </c>
      <c r="C754" s="1" t="s">
        <v>69</v>
      </c>
      <c r="D754" s="1" t="s">
        <v>1577</v>
      </c>
      <c r="E754" s="1" t="s">
        <v>334</v>
      </c>
      <c r="F754" s="1" t="s">
        <v>335</v>
      </c>
      <c r="G754" s="1" t="s">
        <v>1014</v>
      </c>
      <c r="H754" s="1" t="s">
        <v>1562</v>
      </c>
      <c r="I754" s="1">
        <v>4</v>
      </c>
      <c r="J754" s="2">
        <v>2381.4299999999998</v>
      </c>
      <c r="K754" s="2">
        <v>2381.4302855199999</v>
      </c>
      <c r="L754" s="2">
        <v>1724.06</v>
      </c>
      <c r="M754" s="2">
        <v>1724.06</v>
      </c>
      <c r="N754" s="1" t="s">
        <v>45</v>
      </c>
      <c r="O754" s="2">
        <v>1.381292</v>
      </c>
      <c r="P754" s="3">
        <f t="shared" si="22"/>
        <v>1724.06</v>
      </c>
      <c r="Q754" s="3" t="str">
        <f t="shared" si="23"/>
        <v>29084915341724.06</v>
      </c>
      <c r="R754" t="s">
        <v>91</v>
      </c>
      <c r="AB754" t="s">
        <v>1404</v>
      </c>
    </row>
    <row r="755" spans="1:28" hidden="1">
      <c r="A755" t="s">
        <v>29</v>
      </c>
      <c r="B755" s="1" t="s">
        <v>1205</v>
      </c>
      <c r="C755" s="1" t="s">
        <v>69</v>
      </c>
      <c r="D755" s="1" t="s">
        <v>1578</v>
      </c>
      <c r="E755" s="1" t="s">
        <v>156</v>
      </c>
      <c r="F755" s="1" t="s">
        <v>156</v>
      </c>
      <c r="G755" s="1" t="s">
        <v>1579</v>
      </c>
      <c r="H755" s="1" t="s">
        <v>1562</v>
      </c>
      <c r="I755" s="1">
        <v>4</v>
      </c>
      <c r="J755" s="2">
        <v>1305.5</v>
      </c>
      <c r="K755" s="2">
        <v>1305.5</v>
      </c>
      <c r="L755" s="2">
        <v>1305.5</v>
      </c>
      <c r="M755" s="2">
        <v>1305.5</v>
      </c>
      <c r="N755" s="1" t="s">
        <v>36</v>
      </c>
      <c r="O755" s="2">
        <v>1</v>
      </c>
      <c r="P755" s="3">
        <f t="shared" si="22"/>
        <v>979.125</v>
      </c>
      <c r="Q755" s="3" t="str">
        <f t="shared" si="23"/>
        <v>2-705-747931305.5</v>
      </c>
      <c r="AB755" t="s">
        <v>1404</v>
      </c>
    </row>
    <row r="756" spans="1:28" hidden="1">
      <c r="A756" t="s">
        <v>29</v>
      </c>
      <c r="B756" s="1" t="s">
        <v>1562</v>
      </c>
      <c r="C756" s="1" t="s">
        <v>69</v>
      </c>
      <c r="D756" s="1" t="s">
        <v>1580</v>
      </c>
      <c r="E756" s="1" t="s">
        <v>1075</v>
      </c>
      <c r="F756" s="1"/>
      <c r="G756" s="1" t="s">
        <v>1581</v>
      </c>
      <c r="H756" s="1" t="s">
        <v>1562</v>
      </c>
      <c r="I756" s="1">
        <v>4</v>
      </c>
      <c r="J756" s="2">
        <v>2853.25</v>
      </c>
      <c r="K756" s="2">
        <v>2853.25</v>
      </c>
      <c r="L756" s="2">
        <v>2853.25</v>
      </c>
      <c r="M756" s="2">
        <v>2853.25</v>
      </c>
      <c r="N756" s="1" t="s">
        <v>36</v>
      </c>
      <c r="O756" s="2">
        <v>1</v>
      </c>
      <c r="P756" s="3">
        <f t="shared" si="22"/>
        <v>2139.9375</v>
      </c>
      <c r="Q756" s="3" t="str">
        <f t="shared" si="23"/>
        <v>344172853.25</v>
      </c>
    </row>
    <row r="757" spans="1:28" hidden="1">
      <c r="A757" t="s">
        <v>29</v>
      </c>
      <c r="B757" s="1" t="s">
        <v>895</v>
      </c>
      <c r="C757" s="1" t="s">
        <v>69</v>
      </c>
      <c r="D757" s="1" t="s">
        <v>1582</v>
      </c>
      <c r="E757" s="1" t="s">
        <v>221</v>
      </c>
      <c r="F757" s="1" t="s">
        <v>222</v>
      </c>
      <c r="G757" s="1" t="s">
        <v>784</v>
      </c>
      <c r="H757" s="1" t="s">
        <v>1583</v>
      </c>
      <c r="I757" s="1">
        <v>3</v>
      </c>
      <c r="J757" s="2">
        <v>8289.65</v>
      </c>
      <c r="K757" s="2">
        <v>8289.6538424999999</v>
      </c>
      <c r="L757" s="2">
        <v>6017.5</v>
      </c>
      <c r="M757" s="2">
        <v>6017.5</v>
      </c>
      <c r="N757" s="1" t="s">
        <v>45</v>
      </c>
      <c r="O757" s="2">
        <v>1.377591</v>
      </c>
      <c r="P757" s="3">
        <f t="shared" si="22"/>
        <v>6017.5</v>
      </c>
      <c r="Q757" s="3" t="str">
        <f t="shared" si="23"/>
        <v>FGL00053446017.5</v>
      </c>
      <c r="AB757" t="s">
        <v>1404</v>
      </c>
    </row>
    <row r="758" spans="1:28" hidden="1">
      <c r="A758" t="s">
        <v>29</v>
      </c>
      <c r="B758" s="1" t="s">
        <v>895</v>
      </c>
      <c r="C758" s="1" t="s">
        <v>69</v>
      </c>
      <c r="D758" s="1" t="s">
        <v>1584</v>
      </c>
      <c r="E758" s="1" t="s">
        <v>480</v>
      </c>
      <c r="F758" s="1" t="s">
        <v>481</v>
      </c>
      <c r="G758" s="1" t="s">
        <v>1585</v>
      </c>
      <c r="H758" s="1" t="s">
        <v>1583</v>
      </c>
      <c r="I758" s="1">
        <v>3</v>
      </c>
      <c r="J758" s="2">
        <v>162390.43</v>
      </c>
      <c r="K758" s="2">
        <v>162390.42707999999</v>
      </c>
      <c r="L758" s="2">
        <v>117880</v>
      </c>
      <c r="M758" s="2">
        <v>117880</v>
      </c>
      <c r="N758" s="1" t="s">
        <v>45</v>
      </c>
      <c r="O758" s="2">
        <v>1.377591</v>
      </c>
      <c r="P758" s="3">
        <f t="shared" si="22"/>
        <v>117880</v>
      </c>
      <c r="Q758" s="3" t="str">
        <f t="shared" si="23"/>
        <v>91887062117880</v>
      </c>
      <c r="R758" t="s">
        <v>74</v>
      </c>
      <c r="S758" t="s">
        <v>155</v>
      </c>
      <c r="AB758" t="s">
        <v>1404</v>
      </c>
    </row>
    <row r="759" spans="1:28" hidden="1">
      <c r="A759" t="s">
        <v>29</v>
      </c>
      <c r="B759" s="1" t="s">
        <v>895</v>
      </c>
      <c r="C759" s="1" t="s">
        <v>69</v>
      </c>
      <c r="D759" s="1" t="s">
        <v>1586</v>
      </c>
      <c r="E759" s="1" t="s">
        <v>150</v>
      </c>
      <c r="F759" s="1" t="s">
        <v>151</v>
      </c>
      <c r="G759" s="1" t="s">
        <v>1587</v>
      </c>
      <c r="H759" s="1" t="s">
        <v>1583</v>
      </c>
      <c r="I759" s="1">
        <v>3</v>
      </c>
      <c r="J759" s="2">
        <v>12746.11</v>
      </c>
      <c r="K759" s="2">
        <v>12746.11</v>
      </c>
      <c r="L759" s="2">
        <v>12746.11</v>
      </c>
      <c r="M759" s="2">
        <v>12746.11</v>
      </c>
      <c r="N759" s="1" t="s">
        <v>36</v>
      </c>
      <c r="O759" s="2">
        <v>1</v>
      </c>
      <c r="P759" s="3">
        <f t="shared" si="22"/>
        <v>9559.5825000000004</v>
      </c>
      <c r="Q759" s="3" t="str">
        <f t="shared" si="23"/>
        <v>CB0047917412746.11</v>
      </c>
      <c r="R759" t="s">
        <v>37</v>
      </c>
      <c r="AB759" t="s">
        <v>1404</v>
      </c>
    </row>
    <row r="760" spans="1:28" hidden="1">
      <c r="A760" t="s">
        <v>29</v>
      </c>
      <c r="B760" s="1" t="s">
        <v>895</v>
      </c>
      <c r="C760" s="1" t="s">
        <v>69</v>
      </c>
      <c r="D760" s="1" t="s">
        <v>1588</v>
      </c>
      <c r="E760" s="1" t="s">
        <v>1537</v>
      </c>
      <c r="F760" s="1" t="s">
        <v>1538</v>
      </c>
      <c r="G760" s="1" t="s">
        <v>1589</v>
      </c>
      <c r="H760" s="1" t="s">
        <v>1583</v>
      </c>
      <c r="I760" s="1">
        <v>3</v>
      </c>
      <c r="J760" s="2">
        <v>1288.2</v>
      </c>
      <c r="K760" s="2">
        <v>1288.2</v>
      </c>
      <c r="L760" s="2">
        <v>1288.2</v>
      </c>
      <c r="M760" s="2">
        <v>1288.2</v>
      </c>
      <c r="N760" s="1" t="s">
        <v>36</v>
      </c>
      <c r="O760" s="2">
        <v>1</v>
      </c>
      <c r="P760" s="3">
        <f t="shared" si="22"/>
        <v>966.15000000000009</v>
      </c>
      <c r="Q760" s="3" t="str">
        <f t="shared" si="23"/>
        <v>20473821288.2</v>
      </c>
      <c r="R760" t="s">
        <v>74</v>
      </c>
      <c r="S760" t="s">
        <v>155</v>
      </c>
      <c r="AB760" t="s">
        <v>1404</v>
      </c>
    </row>
    <row r="761" spans="1:28" hidden="1">
      <c r="A761" t="s">
        <v>29</v>
      </c>
      <c r="B761" s="1" t="s">
        <v>895</v>
      </c>
      <c r="C761" s="1" t="s">
        <v>69</v>
      </c>
      <c r="D761" s="1" t="s">
        <v>1590</v>
      </c>
      <c r="E761" s="1" t="s">
        <v>334</v>
      </c>
      <c r="F761" s="1" t="s">
        <v>335</v>
      </c>
      <c r="G761" s="1" t="s">
        <v>1376</v>
      </c>
      <c r="H761" s="1" t="s">
        <v>1583</v>
      </c>
      <c r="I761" s="1">
        <v>3</v>
      </c>
      <c r="J761" s="2">
        <v>29182.89</v>
      </c>
      <c r="K761" s="2">
        <v>29182.887744</v>
      </c>
      <c r="L761" s="2">
        <v>21184</v>
      </c>
      <c r="M761" s="2">
        <v>21184</v>
      </c>
      <c r="N761" s="1" t="s">
        <v>45</v>
      </c>
      <c r="O761" s="2">
        <v>1.377591</v>
      </c>
      <c r="P761" s="3">
        <f t="shared" si="22"/>
        <v>21184</v>
      </c>
      <c r="Q761" s="3" t="str">
        <f t="shared" si="23"/>
        <v>190978718221184</v>
      </c>
      <c r="R761" t="s">
        <v>91</v>
      </c>
      <c r="AB761" t="s">
        <v>1404</v>
      </c>
    </row>
    <row r="762" spans="1:28" hidden="1">
      <c r="A762" t="s">
        <v>29</v>
      </c>
      <c r="B762" s="1" t="s">
        <v>895</v>
      </c>
      <c r="C762" s="1" t="s">
        <v>69</v>
      </c>
      <c r="D762" s="1" t="s">
        <v>1591</v>
      </c>
      <c r="E762" s="1" t="s">
        <v>334</v>
      </c>
      <c r="F762" s="1" t="s">
        <v>335</v>
      </c>
      <c r="G762" s="1" t="s">
        <v>1376</v>
      </c>
      <c r="H762" s="1" t="s">
        <v>1583</v>
      </c>
      <c r="I762" s="1">
        <v>3</v>
      </c>
      <c r="J762" s="2">
        <v>30571.5</v>
      </c>
      <c r="K762" s="2">
        <v>30571.499472</v>
      </c>
      <c r="L762" s="2">
        <v>22192</v>
      </c>
      <c r="M762" s="2">
        <v>22192</v>
      </c>
      <c r="N762" s="1" t="s">
        <v>45</v>
      </c>
      <c r="O762" s="2">
        <v>1.377591</v>
      </c>
      <c r="P762" s="3">
        <f t="shared" si="22"/>
        <v>22192</v>
      </c>
      <c r="Q762" s="3" t="str">
        <f t="shared" si="23"/>
        <v>190978859122192</v>
      </c>
      <c r="R762" t="s">
        <v>91</v>
      </c>
      <c r="AB762" t="s">
        <v>1404</v>
      </c>
    </row>
    <row r="763" spans="1:28" hidden="1">
      <c r="A763" t="s">
        <v>29</v>
      </c>
      <c r="B763" s="1" t="s">
        <v>895</v>
      </c>
      <c r="C763" s="1" t="s">
        <v>69</v>
      </c>
      <c r="D763" s="1" t="s">
        <v>1592</v>
      </c>
      <c r="E763" s="1" t="s">
        <v>334</v>
      </c>
      <c r="F763" s="1" t="s">
        <v>335</v>
      </c>
      <c r="G763" s="1" t="s">
        <v>862</v>
      </c>
      <c r="H763" s="1" t="s">
        <v>1583</v>
      </c>
      <c r="I763" s="1">
        <v>3</v>
      </c>
      <c r="J763" s="2">
        <v>2515.6999999999998</v>
      </c>
      <c r="K763" s="2">
        <v>2515.7015805599999</v>
      </c>
      <c r="L763" s="2">
        <v>1826.16</v>
      </c>
      <c r="M763" s="2">
        <v>1826.16</v>
      </c>
      <c r="N763" s="1" t="s">
        <v>45</v>
      </c>
      <c r="O763" s="2">
        <v>1.377591</v>
      </c>
      <c r="P763" s="3">
        <f t="shared" si="22"/>
        <v>1826.16</v>
      </c>
      <c r="Q763" s="3" t="str">
        <f t="shared" si="23"/>
        <v>29084932891826.16</v>
      </c>
      <c r="R763" t="s">
        <v>91</v>
      </c>
      <c r="AB763" t="s">
        <v>1404</v>
      </c>
    </row>
    <row r="764" spans="1:28" hidden="1">
      <c r="A764" t="s">
        <v>29</v>
      </c>
      <c r="B764" s="1" t="s">
        <v>895</v>
      </c>
      <c r="C764" s="1" t="s">
        <v>69</v>
      </c>
      <c r="D764" s="1" t="s">
        <v>1593</v>
      </c>
      <c r="E764" s="1" t="s">
        <v>334</v>
      </c>
      <c r="F764" s="1" t="s">
        <v>335</v>
      </c>
      <c r="G764" s="1" t="s">
        <v>1014</v>
      </c>
      <c r="H764" s="1" t="s">
        <v>1583</v>
      </c>
      <c r="I764" s="1">
        <v>3</v>
      </c>
      <c r="J764" s="2">
        <v>4567.3999999999996</v>
      </c>
      <c r="K764" s="2">
        <v>4567.4029604999996</v>
      </c>
      <c r="L764" s="2">
        <v>3315.5</v>
      </c>
      <c r="M764" s="2">
        <v>3315.5</v>
      </c>
      <c r="N764" s="1" t="s">
        <v>45</v>
      </c>
      <c r="O764" s="2">
        <v>1.377591</v>
      </c>
      <c r="P764" s="3">
        <f t="shared" si="22"/>
        <v>3315.5</v>
      </c>
      <c r="Q764" s="3" t="str">
        <f t="shared" si="23"/>
        <v>29084920863315.5</v>
      </c>
      <c r="R764" t="s">
        <v>91</v>
      </c>
      <c r="AB764" t="s">
        <v>1404</v>
      </c>
    </row>
    <row r="765" spans="1:28" hidden="1">
      <c r="A765" t="s">
        <v>29</v>
      </c>
      <c r="B765" s="1" t="s">
        <v>895</v>
      </c>
      <c r="C765" s="1" t="s">
        <v>69</v>
      </c>
      <c r="D765" s="1" t="s">
        <v>1594</v>
      </c>
      <c r="E765" s="1" t="s">
        <v>334</v>
      </c>
      <c r="F765" s="1" t="s">
        <v>335</v>
      </c>
      <c r="G765" s="1" t="s">
        <v>1552</v>
      </c>
      <c r="H765" s="1" t="s">
        <v>1583</v>
      </c>
      <c r="I765" s="1">
        <v>3</v>
      </c>
      <c r="J765" s="2">
        <v>131.74</v>
      </c>
      <c r="K765" s="2">
        <v>131.73902733</v>
      </c>
      <c r="L765" s="2">
        <v>95.63</v>
      </c>
      <c r="M765" s="2">
        <v>95.63</v>
      </c>
      <c r="N765" s="1" t="s">
        <v>45</v>
      </c>
      <c r="O765" s="2">
        <v>1.377591</v>
      </c>
      <c r="P765" s="3">
        <f t="shared" si="22"/>
        <v>95.63</v>
      </c>
      <c r="Q765" s="3" t="str">
        <f t="shared" si="23"/>
        <v>290849220395.63</v>
      </c>
      <c r="R765" t="s">
        <v>91</v>
      </c>
      <c r="AB765" t="s">
        <v>1404</v>
      </c>
    </row>
    <row r="766" spans="1:28" hidden="1">
      <c r="A766" t="s">
        <v>29</v>
      </c>
      <c r="B766" s="1" t="s">
        <v>895</v>
      </c>
      <c r="C766" s="1" t="s">
        <v>69</v>
      </c>
      <c r="D766" s="1" t="s">
        <v>1595</v>
      </c>
      <c r="E766" s="1" t="s">
        <v>334</v>
      </c>
      <c r="F766" s="1" t="s">
        <v>335</v>
      </c>
      <c r="G766" s="1" t="s">
        <v>958</v>
      </c>
      <c r="H766" s="1" t="s">
        <v>1583</v>
      </c>
      <c r="I766" s="1">
        <v>3</v>
      </c>
      <c r="J766" s="2">
        <v>3557.92</v>
      </c>
      <c r="K766" s="2">
        <v>3557.91805161</v>
      </c>
      <c r="L766" s="2">
        <v>2582.71</v>
      </c>
      <c r="M766" s="2">
        <v>2582.71</v>
      </c>
      <c r="N766" s="1" t="s">
        <v>45</v>
      </c>
      <c r="O766" s="2">
        <v>1.377591</v>
      </c>
      <c r="P766" s="3">
        <f t="shared" si="22"/>
        <v>2582.71</v>
      </c>
      <c r="Q766" s="3" t="str">
        <f t="shared" si="23"/>
        <v>29084929832582.71</v>
      </c>
      <c r="R766" t="s">
        <v>91</v>
      </c>
      <c r="AB766" t="s">
        <v>1404</v>
      </c>
    </row>
    <row r="767" spans="1:28" hidden="1">
      <c r="A767" t="s">
        <v>29</v>
      </c>
      <c r="B767" s="1" t="s">
        <v>895</v>
      </c>
      <c r="C767" s="1" t="s">
        <v>69</v>
      </c>
      <c r="D767" s="1" t="s">
        <v>1596</v>
      </c>
      <c r="E767" s="1" t="s">
        <v>498</v>
      </c>
      <c r="F767" s="1" t="s">
        <v>415</v>
      </c>
      <c r="G767" s="1" t="s">
        <v>1597</v>
      </c>
      <c r="H767" s="1" t="s">
        <v>1583</v>
      </c>
      <c r="I767" s="1">
        <v>3</v>
      </c>
      <c r="J767" s="2">
        <v>11020.73</v>
      </c>
      <c r="K767" s="2">
        <v>11020.727999999999</v>
      </c>
      <c r="L767" s="2">
        <v>8000</v>
      </c>
      <c r="M767" s="2">
        <v>8000</v>
      </c>
      <c r="N767" s="1" t="s">
        <v>45</v>
      </c>
      <c r="O767" s="2">
        <v>1.377591</v>
      </c>
      <c r="P767" s="3">
        <f t="shared" si="22"/>
        <v>8000</v>
      </c>
      <c r="Q767" s="3" t="str">
        <f t="shared" si="23"/>
        <v>USPDS1726808000</v>
      </c>
      <c r="R767" t="s">
        <v>202</v>
      </c>
      <c r="AB767" t="s">
        <v>1404</v>
      </c>
    </row>
    <row r="768" spans="1:28" hidden="1">
      <c r="A768" t="s">
        <v>29</v>
      </c>
      <c r="B768" s="1" t="s">
        <v>895</v>
      </c>
      <c r="C768" s="1" t="s">
        <v>69</v>
      </c>
      <c r="D768" s="1" t="s">
        <v>1598</v>
      </c>
      <c r="E768" s="1" t="s">
        <v>584</v>
      </c>
      <c r="F768" s="1" t="s">
        <v>585</v>
      </c>
      <c r="G768" s="1" t="s">
        <v>752</v>
      </c>
      <c r="H768" s="1" t="s">
        <v>1583</v>
      </c>
      <c r="I768" s="1">
        <v>3</v>
      </c>
      <c r="J768" s="2">
        <v>185.78</v>
      </c>
      <c r="K768" s="2">
        <v>185.78</v>
      </c>
      <c r="L768" s="2">
        <v>185.78</v>
      </c>
      <c r="M768" s="2">
        <v>185.78</v>
      </c>
      <c r="N768" s="1" t="s">
        <v>36</v>
      </c>
      <c r="O768" s="2">
        <v>1</v>
      </c>
      <c r="P768" s="3">
        <f t="shared" ref="P768:P830" si="24">IF(N768="CAD",$P$1,1)*M768</f>
        <v>139.33500000000001</v>
      </c>
      <c r="Q768" s="3" t="str">
        <f t="shared" ref="Q768:Q830" si="25">D768&amp;M768</f>
        <v>7813266185.78</v>
      </c>
      <c r="AB768" t="s">
        <v>1404</v>
      </c>
    </row>
    <row r="769" spans="1:28" hidden="1">
      <c r="A769" t="s">
        <v>29</v>
      </c>
      <c r="B769" s="1" t="s">
        <v>895</v>
      </c>
      <c r="C769" s="1" t="s">
        <v>69</v>
      </c>
      <c r="D769" s="1" t="s">
        <v>1599</v>
      </c>
      <c r="E769" s="1" t="s">
        <v>584</v>
      </c>
      <c r="F769" s="1" t="s">
        <v>585</v>
      </c>
      <c r="G769" s="1" t="s">
        <v>752</v>
      </c>
      <c r="H769" s="1" t="s">
        <v>1583</v>
      </c>
      <c r="I769" s="1">
        <v>3</v>
      </c>
      <c r="J769" s="2">
        <v>189.9</v>
      </c>
      <c r="K769" s="2">
        <v>189.9</v>
      </c>
      <c r="L769" s="2">
        <v>189.9</v>
      </c>
      <c r="M769" s="2">
        <v>189.9</v>
      </c>
      <c r="N769" s="1" t="s">
        <v>36</v>
      </c>
      <c r="O769" s="2">
        <v>1</v>
      </c>
      <c r="P769" s="3">
        <f t="shared" si="24"/>
        <v>142.42500000000001</v>
      </c>
      <c r="Q769" s="3" t="str">
        <f t="shared" si="25"/>
        <v>7813467189.9</v>
      </c>
      <c r="AB769" t="s">
        <v>1404</v>
      </c>
    </row>
    <row r="770" spans="1:28" hidden="1">
      <c r="A770" t="s">
        <v>29</v>
      </c>
      <c r="B770" s="1" t="s">
        <v>895</v>
      </c>
      <c r="C770" s="1" t="s">
        <v>69</v>
      </c>
      <c r="D770" s="1" t="s">
        <v>1600</v>
      </c>
      <c r="E770" s="1" t="s">
        <v>584</v>
      </c>
      <c r="F770" s="1" t="s">
        <v>585</v>
      </c>
      <c r="G770" s="1" t="s">
        <v>752</v>
      </c>
      <c r="H770" s="1" t="s">
        <v>1583</v>
      </c>
      <c r="I770" s="1">
        <v>3</v>
      </c>
      <c r="J770" s="2">
        <v>97.41</v>
      </c>
      <c r="K770" s="2">
        <v>97.41</v>
      </c>
      <c r="L770" s="2">
        <v>97.41</v>
      </c>
      <c r="M770" s="2">
        <v>97.41</v>
      </c>
      <c r="N770" s="1" t="s">
        <v>36</v>
      </c>
      <c r="O770" s="2">
        <v>1</v>
      </c>
      <c r="P770" s="3">
        <f t="shared" si="24"/>
        <v>73.057500000000005</v>
      </c>
      <c r="Q770" s="3" t="str">
        <f t="shared" si="25"/>
        <v>781314897.41</v>
      </c>
      <c r="AB770" t="s">
        <v>1404</v>
      </c>
    </row>
    <row r="771" spans="1:28" hidden="1">
      <c r="A771" t="s">
        <v>29</v>
      </c>
      <c r="B771" s="1" t="s">
        <v>895</v>
      </c>
      <c r="C771" s="1" t="s">
        <v>69</v>
      </c>
      <c r="D771" s="1" t="s">
        <v>1601</v>
      </c>
      <c r="E771" s="1" t="s">
        <v>584</v>
      </c>
      <c r="F771" s="1" t="s">
        <v>585</v>
      </c>
      <c r="G771" s="1" t="s">
        <v>752</v>
      </c>
      <c r="H771" s="1" t="s">
        <v>1583</v>
      </c>
      <c r="I771" s="1">
        <v>3</v>
      </c>
      <c r="J771" s="2">
        <v>97.41</v>
      </c>
      <c r="K771" s="2">
        <v>97.41</v>
      </c>
      <c r="L771" s="2">
        <v>97.41</v>
      </c>
      <c r="M771" s="2">
        <v>97.41</v>
      </c>
      <c r="N771" s="1" t="s">
        <v>36</v>
      </c>
      <c r="O771" s="2">
        <v>1</v>
      </c>
      <c r="P771" s="3">
        <f t="shared" si="24"/>
        <v>73.057500000000005</v>
      </c>
      <c r="Q771" s="3" t="str">
        <f t="shared" si="25"/>
        <v>781314797.41</v>
      </c>
      <c r="AB771" t="s">
        <v>1404</v>
      </c>
    </row>
    <row r="772" spans="1:28" hidden="1">
      <c r="A772" t="s">
        <v>29</v>
      </c>
      <c r="B772" s="1" t="s">
        <v>895</v>
      </c>
      <c r="C772" s="1" t="s">
        <v>69</v>
      </c>
      <c r="D772" s="1" t="s">
        <v>1602</v>
      </c>
      <c r="E772" s="1" t="s">
        <v>584</v>
      </c>
      <c r="F772" s="1" t="s">
        <v>585</v>
      </c>
      <c r="G772" s="1" t="s">
        <v>752</v>
      </c>
      <c r="H772" s="1" t="s">
        <v>1583</v>
      </c>
      <c r="I772" s="1">
        <v>3</v>
      </c>
      <c r="J772" s="2">
        <v>97.41</v>
      </c>
      <c r="K772" s="2">
        <v>97.41</v>
      </c>
      <c r="L772" s="2">
        <v>97.41</v>
      </c>
      <c r="M772" s="2">
        <v>97.41</v>
      </c>
      <c r="N772" s="1" t="s">
        <v>36</v>
      </c>
      <c r="O772" s="2">
        <v>1</v>
      </c>
      <c r="P772" s="3">
        <f t="shared" si="24"/>
        <v>73.057500000000005</v>
      </c>
      <c r="Q772" s="3" t="str">
        <f t="shared" si="25"/>
        <v>781355197.41</v>
      </c>
      <c r="AB772" t="s">
        <v>1404</v>
      </c>
    </row>
    <row r="773" spans="1:28" hidden="1">
      <c r="A773" t="s">
        <v>29</v>
      </c>
      <c r="B773" s="1" t="s">
        <v>895</v>
      </c>
      <c r="C773" s="1" t="s">
        <v>69</v>
      </c>
      <c r="D773" s="1" t="s">
        <v>1603</v>
      </c>
      <c r="E773" s="1" t="s">
        <v>392</v>
      </c>
      <c r="F773" s="1" t="s">
        <v>393</v>
      </c>
      <c r="G773" s="1" t="s">
        <v>1604</v>
      </c>
      <c r="H773" s="1" t="s">
        <v>1583</v>
      </c>
      <c r="I773" s="1">
        <v>3</v>
      </c>
      <c r="J773" s="2">
        <v>5424</v>
      </c>
      <c r="K773" s="2">
        <v>5424</v>
      </c>
      <c r="L773" s="2">
        <v>5424</v>
      </c>
      <c r="M773" s="2">
        <v>5424</v>
      </c>
      <c r="N773" s="1" t="s">
        <v>36</v>
      </c>
      <c r="O773" s="2">
        <v>1</v>
      </c>
      <c r="P773" s="3">
        <f t="shared" si="24"/>
        <v>4068</v>
      </c>
      <c r="Q773" s="3" t="str">
        <f t="shared" si="25"/>
        <v>00021085424</v>
      </c>
      <c r="R773" t="s">
        <v>166</v>
      </c>
      <c r="AB773" t="s">
        <v>1404</v>
      </c>
    </row>
    <row r="774" spans="1:28" hidden="1">
      <c r="A774" t="s">
        <v>29</v>
      </c>
      <c r="B774" s="1" t="s">
        <v>1236</v>
      </c>
      <c r="C774" s="1" t="s">
        <v>69</v>
      </c>
      <c r="D774" s="1" t="s">
        <v>1605</v>
      </c>
      <c r="E774" s="1" t="s">
        <v>156</v>
      </c>
      <c r="F774" s="1" t="s">
        <v>156</v>
      </c>
      <c r="G774" s="1" t="s">
        <v>1525</v>
      </c>
      <c r="H774" s="1" t="s">
        <v>1583</v>
      </c>
      <c r="I774" s="1">
        <v>3</v>
      </c>
      <c r="J774" s="2">
        <v>1595.65</v>
      </c>
      <c r="K774" s="2">
        <v>1595.65</v>
      </c>
      <c r="L774" s="2">
        <v>1595.65</v>
      </c>
      <c r="M774" s="2">
        <v>1595.65</v>
      </c>
      <c r="N774" s="1" t="s">
        <v>36</v>
      </c>
      <c r="O774" s="2">
        <v>1</v>
      </c>
      <c r="P774" s="3">
        <f t="shared" si="24"/>
        <v>1196.7375000000002</v>
      </c>
      <c r="Q774" s="3" t="str">
        <f t="shared" si="25"/>
        <v>2-705-942371595.65</v>
      </c>
      <c r="AB774" t="s">
        <v>1404</v>
      </c>
    </row>
    <row r="775" spans="1:28" hidden="1">
      <c r="A775" t="s">
        <v>29</v>
      </c>
      <c r="B775" s="1" t="s">
        <v>1350</v>
      </c>
      <c r="C775" s="1" t="s">
        <v>69</v>
      </c>
      <c r="D775" s="1" t="s">
        <v>1606</v>
      </c>
      <c r="E775" s="1" t="s">
        <v>1607</v>
      </c>
      <c r="F775" s="1"/>
      <c r="G775" s="1" t="s">
        <v>32</v>
      </c>
      <c r="H775" s="1" t="s">
        <v>1583</v>
      </c>
      <c r="I775" s="1">
        <v>3</v>
      </c>
      <c r="J775" s="2">
        <v>175568.56</v>
      </c>
      <c r="K775" s="2">
        <v>175568.55895037999</v>
      </c>
      <c r="L775" s="2">
        <v>127914.89</v>
      </c>
      <c r="M775" s="2">
        <v>127914.89</v>
      </c>
      <c r="N775" s="1" t="s">
        <v>45</v>
      </c>
      <c r="O775" s="2">
        <v>1.3725419999999999</v>
      </c>
      <c r="P775" s="3">
        <f t="shared" si="24"/>
        <v>127914.89</v>
      </c>
      <c r="Q775" s="3" t="str">
        <f t="shared" si="25"/>
        <v>20251231Navan127914.89</v>
      </c>
    </row>
    <row r="776" spans="1:28" hidden="1">
      <c r="A776" t="s">
        <v>29</v>
      </c>
      <c r="B776" s="1" t="s">
        <v>918</v>
      </c>
      <c r="C776" s="1" t="s">
        <v>69</v>
      </c>
      <c r="D776" s="1" t="s">
        <v>1608</v>
      </c>
      <c r="E776" s="1" t="s">
        <v>584</v>
      </c>
      <c r="F776" s="1" t="s">
        <v>585</v>
      </c>
      <c r="G776" s="1" t="s">
        <v>752</v>
      </c>
      <c r="H776" s="1" t="s">
        <v>1609</v>
      </c>
      <c r="I776" s="1">
        <v>2</v>
      </c>
      <c r="J776" s="2">
        <v>189.9</v>
      </c>
      <c r="K776" s="2">
        <v>189.9</v>
      </c>
      <c r="L776" s="2">
        <v>189.9</v>
      </c>
      <c r="M776" s="2">
        <v>189.9</v>
      </c>
      <c r="N776" s="1" t="s">
        <v>36</v>
      </c>
      <c r="O776" s="2">
        <v>1</v>
      </c>
      <c r="P776" s="3">
        <f t="shared" si="24"/>
        <v>142.42500000000001</v>
      </c>
      <c r="Q776" s="3" t="str">
        <f t="shared" si="25"/>
        <v>7817614189.9</v>
      </c>
      <c r="AB776" t="s">
        <v>1404</v>
      </c>
    </row>
    <row r="777" spans="1:28" hidden="1">
      <c r="A777" t="s">
        <v>29</v>
      </c>
      <c r="B777" s="1" t="s">
        <v>918</v>
      </c>
      <c r="C777" s="1" t="s">
        <v>69</v>
      </c>
      <c r="D777" s="1" t="s">
        <v>1610</v>
      </c>
      <c r="E777" s="1" t="s">
        <v>584</v>
      </c>
      <c r="F777" s="1" t="s">
        <v>585</v>
      </c>
      <c r="G777" s="1" t="s">
        <v>752</v>
      </c>
      <c r="H777" s="1" t="s">
        <v>1609</v>
      </c>
      <c r="I777" s="1">
        <v>2</v>
      </c>
      <c r="J777" s="2">
        <v>97.41</v>
      </c>
      <c r="K777" s="2">
        <v>97.41</v>
      </c>
      <c r="L777" s="2">
        <v>97.41</v>
      </c>
      <c r="M777" s="2">
        <v>97.41</v>
      </c>
      <c r="N777" s="1" t="s">
        <v>36</v>
      </c>
      <c r="O777" s="2">
        <v>1</v>
      </c>
      <c r="P777" s="3">
        <f t="shared" si="24"/>
        <v>73.057500000000005</v>
      </c>
      <c r="Q777" s="3" t="str">
        <f t="shared" si="25"/>
        <v>781815397.41</v>
      </c>
      <c r="AB777" t="s">
        <v>1404</v>
      </c>
    </row>
    <row r="778" spans="1:28" hidden="1">
      <c r="A778" t="s">
        <v>29</v>
      </c>
      <c r="B778" s="1" t="s">
        <v>918</v>
      </c>
      <c r="C778" s="1" t="s">
        <v>69</v>
      </c>
      <c r="D778" s="1" t="s">
        <v>1611</v>
      </c>
      <c r="E778" s="1" t="s">
        <v>584</v>
      </c>
      <c r="F778" s="1" t="s">
        <v>585</v>
      </c>
      <c r="G778" s="1" t="s">
        <v>752</v>
      </c>
      <c r="H778" s="1" t="s">
        <v>1609</v>
      </c>
      <c r="I778" s="1">
        <v>2</v>
      </c>
      <c r="J778" s="2">
        <v>97.41</v>
      </c>
      <c r="K778" s="2">
        <v>97.41</v>
      </c>
      <c r="L778" s="2">
        <v>97.41</v>
      </c>
      <c r="M778" s="2">
        <v>97.41</v>
      </c>
      <c r="N778" s="1" t="s">
        <v>36</v>
      </c>
      <c r="O778" s="2">
        <v>1</v>
      </c>
      <c r="P778" s="3">
        <f t="shared" si="24"/>
        <v>73.057500000000005</v>
      </c>
      <c r="Q778" s="3" t="str">
        <f t="shared" si="25"/>
        <v>781788797.41</v>
      </c>
      <c r="AB778" t="s">
        <v>1404</v>
      </c>
    </row>
    <row r="779" spans="1:28" hidden="1">
      <c r="A779" t="s">
        <v>29</v>
      </c>
      <c r="B779" s="1" t="s">
        <v>918</v>
      </c>
      <c r="C779" s="1" t="s">
        <v>69</v>
      </c>
      <c r="D779" s="1" t="s">
        <v>1612</v>
      </c>
      <c r="E779" s="1" t="s">
        <v>334</v>
      </c>
      <c r="F779" s="1" t="s">
        <v>335</v>
      </c>
      <c r="G779" s="1" t="s">
        <v>1258</v>
      </c>
      <c r="H779" s="1" t="s">
        <v>1609</v>
      </c>
      <c r="I779" s="1">
        <v>2</v>
      </c>
      <c r="J779" s="2">
        <v>2284.3000000000002</v>
      </c>
      <c r="K779" s="2">
        <v>2284.2966124999998</v>
      </c>
      <c r="L779" s="2">
        <v>1657.75</v>
      </c>
      <c r="M779" s="2">
        <v>1657.75</v>
      </c>
      <c r="N779" s="1" t="s">
        <v>45</v>
      </c>
      <c r="O779" s="2">
        <v>1.37795</v>
      </c>
      <c r="P779" s="3">
        <f t="shared" si="24"/>
        <v>1657.75</v>
      </c>
      <c r="Q779" s="3" t="str">
        <f t="shared" si="25"/>
        <v>29084944121657.75</v>
      </c>
      <c r="R779" t="s">
        <v>91</v>
      </c>
      <c r="AB779" t="s">
        <v>1404</v>
      </c>
    </row>
    <row r="780" spans="1:28" hidden="1">
      <c r="A780" t="s">
        <v>29</v>
      </c>
      <c r="B780" s="1" t="s">
        <v>918</v>
      </c>
      <c r="C780" s="1" t="s">
        <v>69</v>
      </c>
      <c r="D780" s="1" t="s">
        <v>1613</v>
      </c>
      <c r="E780" s="1" t="s">
        <v>334</v>
      </c>
      <c r="F780" s="1" t="s">
        <v>335</v>
      </c>
      <c r="G780" s="1" t="s">
        <v>989</v>
      </c>
      <c r="H780" s="1" t="s">
        <v>1609</v>
      </c>
      <c r="I780" s="1">
        <v>2</v>
      </c>
      <c r="J780" s="2">
        <v>217.41</v>
      </c>
      <c r="K780" s="2">
        <v>217.41295099999999</v>
      </c>
      <c r="L780" s="2">
        <v>157.78</v>
      </c>
      <c r="M780" s="2">
        <v>157.78</v>
      </c>
      <c r="N780" s="1" t="s">
        <v>45</v>
      </c>
      <c r="O780" s="2">
        <v>1.37795</v>
      </c>
      <c r="P780" s="3">
        <f t="shared" si="24"/>
        <v>157.78</v>
      </c>
      <c r="Q780" s="3" t="str">
        <f t="shared" si="25"/>
        <v>2908495347157.78</v>
      </c>
      <c r="R780" t="s">
        <v>91</v>
      </c>
      <c r="AB780" t="s">
        <v>1404</v>
      </c>
    </row>
    <row r="781" spans="1:28" hidden="1">
      <c r="A781" t="s">
        <v>29</v>
      </c>
      <c r="B781" s="1" t="s">
        <v>918</v>
      </c>
      <c r="C781" s="1" t="s">
        <v>69</v>
      </c>
      <c r="D781" s="1" t="s">
        <v>1614</v>
      </c>
      <c r="E781" s="1" t="s">
        <v>334</v>
      </c>
      <c r="F781" s="1" t="s">
        <v>335</v>
      </c>
      <c r="G781" s="1" t="s">
        <v>1228</v>
      </c>
      <c r="H781" s="1" t="s">
        <v>1609</v>
      </c>
      <c r="I781" s="1">
        <v>2</v>
      </c>
      <c r="J781" s="2">
        <v>1437.3</v>
      </c>
      <c r="K781" s="2">
        <v>1437.2983065000001</v>
      </c>
      <c r="L781" s="2">
        <v>1043.07</v>
      </c>
      <c r="M781" s="2">
        <v>1043.07</v>
      </c>
      <c r="N781" s="1" t="s">
        <v>45</v>
      </c>
      <c r="O781" s="2">
        <v>1.37795</v>
      </c>
      <c r="P781" s="3">
        <f t="shared" si="24"/>
        <v>1043.07</v>
      </c>
      <c r="Q781" s="3" t="str">
        <f t="shared" si="25"/>
        <v>29084967911043.07</v>
      </c>
      <c r="R781" t="s">
        <v>91</v>
      </c>
      <c r="AB781" t="s">
        <v>1404</v>
      </c>
    </row>
    <row r="782" spans="1:28" hidden="1">
      <c r="A782" t="s">
        <v>29</v>
      </c>
      <c r="B782" s="1" t="s">
        <v>918</v>
      </c>
      <c r="C782" s="1" t="s">
        <v>69</v>
      </c>
      <c r="D782" s="1" t="s">
        <v>1615</v>
      </c>
      <c r="E782" s="1" t="s">
        <v>334</v>
      </c>
      <c r="F782" s="1" t="s">
        <v>335</v>
      </c>
      <c r="G782" s="1" t="s">
        <v>655</v>
      </c>
      <c r="H782" s="1" t="s">
        <v>1609</v>
      </c>
      <c r="I782" s="1">
        <v>2</v>
      </c>
      <c r="J782" s="2">
        <v>33555.839999999997</v>
      </c>
      <c r="K782" s="2">
        <v>33555.838400000001</v>
      </c>
      <c r="L782" s="2">
        <v>24352</v>
      </c>
      <c r="M782" s="2">
        <v>24352</v>
      </c>
      <c r="N782" s="1" t="s">
        <v>45</v>
      </c>
      <c r="O782" s="2">
        <v>1.37795</v>
      </c>
      <c r="P782" s="3">
        <f t="shared" si="24"/>
        <v>24352</v>
      </c>
      <c r="Q782" s="3" t="str">
        <f t="shared" si="25"/>
        <v>190979136524352</v>
      </c>
      <c r="R782" t="s">
        <v>91</v>
      </c>
      <c r="AB782" t="s">
        <v>1404</v>
      </c>
    </row>
    <row r="783" spans="1:28" hidden="1">
      <c r="A783" t="s">
        <v>29</v>
      </c>
      <c r="B783" s="1" t="s">
        <v>944</v>
      </c>
      <c r="C783" s="1" t="s">
        <v>69</v>
      </c>
      <c r="D783" s="1" t="s">
        <v>1616</v>
      </c>
      <c r="E783" s="1" t="s">
        <v>334</v>
      </c>
      <c r="F783" s="1" t="s">
        <v>335</v>
      </c>
      <c r="G783" s="1" t="s">
        <v>1376</v>
      </c>
      <c r="H783" s="1" t="s">
        <v>1617</v>
      </c>
      <c r="I783" s="1">
        <v>1</v>
      </c>
      <c r="J783" s="2">
        <v>27955.85</v>
      </c>
      <c r="K783" s="2">
        <v>27955.849600000001</v>
      </c>
      <c r="L783" s="2">
        <v>20288</v>
      </c>
      <c r="M783" s="2">
        <v>20288</v>
      </c>
      <c r="N783" s="1" t="s">
        <v>45</v>
      </c>
      <c r="O783" s="2">
        <v>1.37795</v>
      </c>
      <c r="P783" s="3">
        <f t="shared" si="24"/>
        <v>20288</v>
      </c>
      <c r="Q783" s="3" t="str">
        <f t="shared" si="25"/>
        <v>190979188820288</v>
      </c>
      <c r="R783" t="s">
        <v>91</v>
      </c>
      <c r="AB783" t="s">
        <v>1404</v>
      </c>
    </row>
    <row r="784" spans="1:28" hidden="1">
      <c r="A784" t="s">
        <v>29</v>
      </c>
      <c r="B784" s="1" t="s">
        <v>944</v>
      </c>
      <c r="C784" s="1" t="s">
        <v>69</v>
      </c>
      <c r="D784" s="1" t="s">
        <v>1618</v>
      </c>
      <c r="E784" s="1" t="s">
        <v>334</v>
      </c>
      <c r="F784" s="1" t="s">
        <v>335</v>
      </c>
      <c r="G784" s="1" t="s">
        <v>1619</v>
      </c>
      <c r="H784" s="1" t="s">
        <v>1617</v>
      </c>
      <c r="I784" s="1">
        <v>1</v>
      </c>
      <c r="J784" s="2">
        <v>7038.38</v>
      </c>
      <c r="K784" s="2">
        <v>7038.3756869999997</v>
      </c>
      <c r="L784" s="2">
        <v>5107.8599999999997</v>
      </c>
      <c r="M784" s="2">
        <v>5107.8599999999997</v>
      </c>
      <c r="N784" s="1" t="s">
        <v>45</v>
      </c>
      <c r="O784" s="2">
        <v>1.37795</v>
      </c>
      <c r="P784" s="3">
        <f t="shared" si="24"/>
        <v>5107.8599999999997</v>
      </c>
      <c r="Q784" s="3" t="str">
        <f t="shared" si="25"/>
        <v>29084989275107.86</v>
      </c>
      <c r="R784" t="s">
        <v>91</v>
      </c>
      <c r="AB784" t="s">
        <v>1404</v>
      </c>
    </row>
    <row r="785" spans="1:28" hidden="1">
      <c r="A785" t="s">
        <v>29</v>
      </c>
      <c r="B785" s="1" t="s">
        <v>944</v>
      </c>
      <c r="C785" s="1" t="s">
        <v>69</v>
      </c>
      <c r="D785" s="1" t="s">
        <v>1620</v>
      </c>
      <c r="E785" s="1" t="s">
        <v>334</v>
      </c>
      <c r="F785" s="1" t="s">
        <v>335</v>
      </c>
      <c r="G785" s="1" t="s">
        <v>1258</v>
      </c>
      <c r="H785" s="1" t="s">
        <v>1617</v>
      </c>
      <c r="I785" s="1">
        <v>1</v>
      </c>
      <c r="J785" s="2">
        <v>4568.59</v>
      </c>
      <c r="K785" s="2">
        <v>4568.5932249999996</v>
      </c>
      <c r="L785" s="2">
        <v>3315.5</v>
      </c>
      <c r="M785" s="2">
        <v>3315.5</v>
      </c>
      <c r="N785" s="1" t="s">
        <v>45</v>
      </c>
      <c r="O785" s="2">
        <v>1.37795</v>
      </c>
      <c r="P785" s="3">
        <f t="shared" si="24"/>
        <v>3315.5</v>
      </c>
      <c r="Q785" s="3" t="str">
        <f t="shared" si="25"/>
        <v>29084976063315.5</v>
      </c>
      <c r="R785" t="s">
        <v>91</v>
      </c>
      <c r="AB785" t="s">
        <v>1404</v>
      </c>
    </row>
    <row r="786" spans="1:28" hidden="1">
      <c r="A786" t="s">
        <v>29</v>
      </c>
      <c r="B786" s="1" t="s">
        <v>944</v>
      </c>
      <c r="C786" s="1" t="s">
        <v>69</v>
      </c>
      <c r="D786" s="1" t="s">
        <v>1621</v>
      </c>
      <c r="E786" s="1" t="s">
        <v>334</v>
      </c>
      <c r="F786" s="1" t="s">
        <v>335</v>
      </c>
      <c r="G786" s="1" t="s">
        <v>1481</v>
      </c>
      <c r="H786" s="1" t="s">
        <v>1617</v>
      </c>
      <c r="I786" s="1">
        <v>1</v>
      </c>
      <c r="J786" s="2">
        <v>1245.9100000000001</v>
      </c>
      <c r="K786" s="2">
        <v>1245.914831</v>
      </c>
      <c r="L786" s="2">
        <v>904.18</v>
      </c>
      <c r="M786" s="2">
        <v>904.18</v>
      </c>
      <c r="N786" s="1" t="s">
        <v>45</v>
      </c>
      <c r="O786" s="2">
        <v>1.37795</v>
      </c>
      <c r="P786" s="3">
        <f t="shared" si="24"/>
        <v>904.18</v>
      </c>
      <c r="Q786" s="3" t="str">
        <f t="shared" si="25"/>
        <v>2908498419904.18</v>
      </c>
      <c r="R786" t="s">
        <v>91</v>
      </c>
      <c r="AB786" t="s">
        <v>1404</v>
      </c>
    </row>
    <row r="787" spans="1:28" hidden="1">
      <c r="A787" t="s">
        <v>29</v>
      </c>
      <c r="B787" s="1" t="s">
        <v>944</v>
      </c>
      <c r="C787" s="1" t="s">
        <v>69</v>
      </c>
      <c r="D787" s="1" t="s">
        <v>1622</v>
      </c>
      <c r="E787" s="1" t="s">
        <v>334</v>
      </c>
      <c r="F787" s="1" t="s">
        <v>335</v>
      </c>
      <c r="G787" s="1" t="s">
        <v>1228</v>
      </c>
      <c r="H787" s="1" t="s">
        <v>1617</v>
      </c>
      <c r="I787" s="1">
        <v>1</v>
      </c>
      <c r="J787" s="2">
        <v>2077.2600000000002</v>
      </c>
      <c r="K787" s="2">
        <v>2077.2596250000001</v>
      </c>
      <c r="L787" s="2">
        <v>1507.5</v>
      </c>
      <c r="M787" s="2">
        <v>1507.5</v>
      </c>
      <c r="N787" s="1" t="s">
        <v>45</v>
      </c>
      <c r="O787" s="2">
        <v>1.37795</v>
      </c>
      <c r="P787" s="3">
        <f t="shared" si="24"/>
        <v>1507.5</v>
      </c>
      <c r="Q787" s="3" t="str">
        <f t="shared" si="25"/>
        <v>29084984231507.5</v>
      </c>
      <c r="R787" t="s">
        <v>91</v>
      </c>
      <c r="AB787" t="s">
        <v>1404</v>
      </c>
    </row>
    <row r="788" spans="1:28" hidden="1">
      <c r="A788" t="s">
        <v>29</v>
      </c>
      <c r="B788" s="1" t="s">
        <v>944</v>
      </c>
      <c r="C788" s="1" t="s">
        <v>69</v>
      </c>
      <c r="D788" s="1" t="s">
        <v>1623</v>
      </c>
      <c r="E788" s="1" t="s">
        <v>334</v>
      </c>
      <c r="F788" s="1" t="s">
        <v>335</v>
      </c>
      <c r="G788" s="1" t="s">
        <v>1228</v>
      </c>
      <c r="H788" s="1" t="s">
        <v>1617</v>
      </c>
      <c r="I788" s="1">
        <v>1</v>
      </c>
      <c r="J788" s="2">
        <v>472.2</v>
      </c>
      <c r="K788" s="2">
        <v>472.19590599999998</v>
      </c>
      <c r="L788" s="2">
        <v>342.68</v>
      </c>
      <c r="M788" s="2">
        <v>342.68</v>
      </c>
      <c r="N788" s="1" t="s">
        <v>45</v>
      </c>
      <c r="O788" s="2">
        <v>1.37795</v>
      </c>
      <c r="P788" s="3">
        <f t="shared" si="24"/>
        <v>342.68</v>
      </c>
      <c r="Q788" s="3" t="str">
        <f t="shared" si="25"/>
        <v>2908498926342.68</v>
      </c>
      <c r="R788" t="s">
        <v>91</v>
      </c>
      <c r="AB788" t="s">
        <v>1404</v>
      </c>
    </row>
    <row r="789" spans="1:28" hidden="1">
      <c r="A789" t="s">
        <v>29</v>
      </c>
      <c r="B789" s="1" t="s">
        <v>1617</v>
      </c>
      <c r="C789" s="1" t="s">
        <v>69</v>
      </c>
      <c r="D789" s="1" t="s">
        <v>1624</v>
      </c>
      <c r="E789" s="1" t="s">
        <v>866</v>
      </c>
      <c r="F789" s="1"/>
      <c r="G789" s="1" t="s">
        <v>1625</v>
      </c>
      <c r="H789" s="1" t="s">
        <v>1617</v>
      </c>
      <c r="I789" s="1">
        <v>1</v>
      </c>
      <c r="J789" s="2">
        <v>2774.62</v>
      </c>
      <c r="K789" s="2">
        <v>2774.6179999999999</v>
      </c>
      <c r="L789" s="2">
        <v>2000</v>
      </c>
      <c r="M789" s="2">
        <v>2000</v>
      </c>
      <c r="N789" s="1" t="s">
        <v>45</v>
      </c>
      <c r="O789" s="2">
        <v>1.3873089999999999</v>
      </c>
      <c r="P789" s="3">
        <f t="shared" si="24"/>
        <v>2000</v>
      </c>
      <c r="Q789" s="3" t="str">
        <f t="shared" si="25"/>
        <v>TXDO20260100572000</v>
      </c>
    </row>
    <row r="790" spans="1:28" hidden="1">
      <c r="A790" t="s">
        <v>29</v>
      </c>
      <c r="B790" s="1" t="s">
        <v>1617</v>
      </c>
      <c r="C790" s="1" t="s">
        <v>217</v>
      </c>
      <c r="D790" s="1" t="s">
        <v>1626</v>
      </c>
      <c r="E790" s="1" t="s">
        <v>1198</v>
      </c>
      <c r="F790" s="1"/>
      <c r="G790" s="1" t="s">
        <v>1200</v>
      </c>
      <c r="H790" s="1" t="s">
        <v>32</v>
      </c>
      <c r="I790" s="1" t="s">
        <v>32</v>
      </c>
      <c r="J790" s="2">
        <v>-5690.09</v>
      </c>
      <c r="K790" s="2">
        <v>-5690.09</v>
      </c>
      <c r="L790" s="2">
        <v>-5690.09</v>
      </c>
      <c r="M790" s="2">
        <v>-5690.09</v>
      </c>
      <c r="N790" s="1" t="s">
        <v>36</v>
      </c>
      <c r="O790" s="2">
        <v>1</v>
      </c>
      <c r="P790" s="3">
        <f t="shared" si="24"/>
        <v>-4267.5675000000001</v>
      </c>
      <c r="Q790" s="3" t="str">
        <f t="shared" si="25"/>
        <v>YHMINR0039335-5690.09</v>
      </c>
    </row>
    <row r="791" spans="1:28" hidden="1">
      <c r="A791" t="s">
        <v>29</v>
      </c>
      <c r="B791" s="1" t="s">
        <v>968</v>
      </c>
      <c r="C791" s="1" t="s">
        <v>69</v>
      </c>
      <c r="D791" s="1" t="s">
        <v>1627</v>
      </c>
      <c r="E791" s="1" t="s">
        <v>334</v>
      </c>
      <c r="F791" s="1" t="s">
        <v>335</v>
      </c>
      <c r="G791" s="1" t="s">
        <v>1628</v>
      </c>
      <c r="H791" s="1" t="s">
        <v>1629</v>
      </c>
      <c r="I791" s="1">
        <v>0</v>
      </c>
      <c r="J791" s="2">
        <v>49.37</v>
      </c>
      <c r="K791" s="2">
        <v>49.370828760000002</v>
      </c>
      <c r="L791" s="2">
        <v>35.86</v>
      </c>
      <c r="M791" s="2">
        <v>35.86</v>
      </c>
      <c r="N791" s="1" t="s">
        <v>45</v>
      </c>
      <c r="O791" s="2">
        <v>1.3767659999999999</v>
      </c>
      <c r="P791" s="3">
        <f t="shared" si="24"/>
        <v>35.86</v>
      </c>
      <c r="Q791" s="3" t="str">
        <f t="shared" si="25"/>
        <v>290850086035.86</v>
      </c>
      <c r="R791" t="s">
        <v>91</v>
      </c>
    </row>
    <row r="792" spans="1:28" hidden="1">
      <c r="A792" t="s">
        <v>29</v>
      </c>
      <c r="B792" s="1" t="s">
        <v>968</v>
      </c>
      <c r="C792" s="1" t="s">
        <v>69</v>
      </c>
      <c r="D792" s="1" t="s">
        <v>1630</v>
      </c>
      <c r="E792" s="1" t="s">
        <v>334</v>
      </c>
      <c r="F792" s="1" t="s">
        <v>335</v>
      </c>
      <c r="G792" s="1" t="s">
        <v>1258</v>
      </c>
      <c r="H792" s="1" t="s">
        <v>1629</v>
      </c>
      <c r="I792" s="1">
        <v>0</v>
      </c>
      <c r="J792" s="2">
        <v>2282.33</v>
      </c>
      <c r="K792" s="2">
        <v>2282.3338365</v>
      </c>
      <c r="L792" s="2">
        <v>1657.75</v>
      </c>
      <c r="M792" s="2">
        <v>1657.75</v>
      </c>
      <c r="N792" s="1" t="s">
        <v>45</v>
      </c>
      <c r="O792" s="2">
        <v>1.3767659999999999</v>
      </c>
      <c r="P792" s="3">
        <f t="shared" si="24"/>
        <v>1657.75</v>
      </c>
      <c r="Q792" s="3" t="str">
        <f t="shared" si="25"/>
        <v>29084996331657.75</v>
      </c>
      <c r="R792" t="s">
        <v>91</v>
      </c>
    </row>
    <row r="793" spans="1:28" hidden="1">
      <c r="A793" t="s">
        <v>29</v>
      </c>
      <c r="B793" s="1" t="s">
        <v>968</v>
      </c>
      <c r="C793" s="1" t="s">
        <v>69</v>
      </c>
      <c r="D793" s="1" t="s">
        <v>1631</v>
      </c>
      <c r="E793" s="1" t="s">
        <v>334</v>
      </c>
      <c r="F793" s="1" t="s">
        <v>335</v>
      </c>
      <c r="G793" s="1" t="s">
        <v>1387</v>
      </c>
      <c r="H793" s="1" t="s">
        <v>1629</v>
      </c>
      <c r="I793" s="1">
        <v>0</v>
      </c>
      <c r="J793" s="2">
        <v>104.59</v>
      </c>
      <c r="K793" s="2">
        <v>104.59291302</v>
      </c>
      <c r="L793" s="2">
        <v>75.97</v>
      </c>
      <c r="M793" s="2">
        <v>75.97</v>
      </c>
      <c r="N793" s="1" t="s">
        <v>45</v>
      </c>
      <c r="O793" s="2">
        <v>1.3767659999999999</v>
      </c>
      <c r="P793" s="3">
        <f t="shared" si="24"/>
        <v>75.97</v>
      </c>
      <c r="Q793" s="3" t="str">
        <f t="shared" si="25"/>
        <v>290849963475.97</v>
      </c>
      <c r="R793" t="s">
        <v>91</v>
      </c>
    </row>
    <row r="794" spans="1:28" hidden="1">
      <c r="A794" t="s">
        <v>29</v>
      </c>
      <c r="B794" s="1" t="s">
        <v>968</v>
      </c>
      <c r="C794" s="1" t="s">
        <v>69</v>
      </c>
      <c r="D794" s="1" t="s">
        <v>1632</v>
      </c>
      <c r="E794" s="1" t="s">
        <v>334</v>
      </c>
      <c r="F794" s="1" t="s">
        <v>335</v>
      </c>
      <c r="G794" s="1" t="s">
        <v>772</v>
      </c>
      <c r="H794" s="1" t="s">
        <v>1629</v>
      </c>
      <c r="I794" s="1">
        <v>0</v>
      </c>
      <c r="J794" s="2">
        <v>927.17</v>
      </c>
      <c r="K794" s="2">
        <v>927.16929503999995</v>
      </c>
      <c r="L794" s="2">
        <v>673.44</v>
      </c>
      <c r="M794" s="2">
        <v>673.44</v>
      </c>
      <c r="N794" s="1" t="s">
        <v>45</v>
      </c>
      <c r="O794" s="2">
        <v>1.3767659999999999</v>
      </c>
      <c r="P794" s="3">
        <f t="shared" si="24"/>
        <v>673.44</v>
      </c>
      <c r="Q794" s="3" t="str">
        <f t="shared" si="25"/>
        <v>2908499986673.44</v>
      </c>
      <c r="R794" t="s">
        <v>91</v>
      </c>
    </row>
    <row r="795" spans="1:28" hidden="1">
      <c r="A795" t="s">
        <v>29</v>
      </c>
      <c r="B795" s="1" t="s">
        <v>968</v>
      </c>
      <c r="C795" s="1" t="s">
        <v>69</v>
      </c>
      <c r="D795" s="1" t="s">
        <v>1633</v>
      </c>
      <c r="E795" s="1" t="s">
        <v>334</v>
      </c>
      <c r="F795" s="1" t="s">
        <v>335</v>
      </c>
      <c r="G795" s="1" t="s">
        <v>1387</v>
      </c>
      <c r="H795" s="1" t="s">
        <v>1629</v>
      </c>
      <c r="I795" s="1">
        <v>0</v>
      </c>
      <c r="J795" s="2">
        <v>96.55</v>
      </c>
      <c r="K795" s="2">
        <v>96.552599580000006</v>
      </c>
      <c r="L795" s="2">
        <v>70.13</v>
      </c>
      <c r="M795" s="2">
        <v>70.13</v>
      </c>
      <c r="N795" s="1" t="s">
        <v>45</v>
      </c>
      <c r="O795" s="2">
        <v>1.3767659999999999</v>
      </c>
      <c r="P795" s="3">
        <f t="shared" si="24"/>
        <v>70.13</v>
      </c>
      <c r="Q795" s="3" t="str">
        <f t="shared" si="25"/>
        <v>290849998770.13</v>
      </c>
      <c r="R795" t="s">
        <v>91</v>
      </c>
    </row>
    <row r="796" spans="1:28" hidden="1">
      <c r="A796" t="s">
        <v>29</v>
      </c>
      <c r="B796" s="1" t="s">
        <v>968</v>
      </c>
      <c r="C796" s="1" t="s">
        <v>69</v>
      </c>
      <c r="D796" s="1" t="s">
        <v>1634</v>
      </c>
      <c r="E796" s="1" t="s">
        <v>334</v>
      </c>
      <c r="F796" s="1" t="s">
        <v>335</v>
      </c>
      <c r="G796" s="1" t="s">
        <v>1635</v>
      </c>
      <c r="H796" s="1" t="s">
        <v>1629</v>
      </c>
      <c r="I796" s="1">
        <v>0</v>
      </c>
      <c r="J796" s="2">
        <v>1113.42</v>
      </c>
      <c r="K796" s="2">
        <v>1113.4181995199999</v>
      </c>
      <c r="L796" s="2">
        <v>808.72</v>
      </c>
      <c r="M796" s="2">
        <v>808.72</v>
      </c>
      <c r="N796" s="1" t="s">
        <v>45</v>
      </c>
      <c r="O796" s="2">
        <v>1.3767659999999999</v>
      </c>
      <c r="P796" s="3">
        <f t="shared" si="24"/>
        <v>808.72</v>
      </c>
      <c r="Q796" s="3" t="str">
        <f t="shared" si="25"/>
        <v>2908500334808.72</v>
      </c>
      <c r="R796" t="s">
        <v>91</v>
      </c>
    </row>
    <row r="797" spans="1:28" hidden="1">
      <c r="A797" t="s">
        <v>29</v>
      </c>
      <c r="B797" s="1" t="s">
        <v>968</v>
      </c>
      <c r="C797" s="1" t="s">
        <v>69</v>
      </c>
      <c r="D797" s="1" t="s">
        <v>1636</v>
      </c>
      <c r="E797" s="1" t="s">
        <v>334</v>
      </c>
      <c r="F797" s="1" t="s">
        <v>335</v>
      </c>
      <c r="G797" s="1" t="s">
        <v>1311</v>
      </c>
      <c r="H797" s="1" t="s">
        <v>1629</v>
      </c>
      <c r="I797" s="1">
        <v>0</v>
      </c>
      <c r="J797" s="2">
        <v>2085.84</v>
      </c>
      <c r="K797" s="2">
        <v>2085.8417929799998</v>
      </c>
      <c r="L797" s="2">
        <v>1515.03</v>
      </c>
      <c r="M797" s="2">
        <v>1515.03</v>
      </c>
      <c r="N797" s="1" t="s">
        <v>45</v>
      </c>
      <c r="O797" s="2">
        <v>1.3767659999999999</v>
      </c>
      <c r="P797" s="3">
        <f t="shared" si="24"/>
        <v>1515.03</v>
      </c>
      <c r="Q797" s="3" t="str">
        <f t="shared" si="25"/>
        <v>29085003361515.03</v>
      </c>
      <c r="R797" t="s">
        <v>91</v>
      </c>
    </row>
    <row r="798" spans="1:28" hidden="1">
      <c r="A798" t="s">
        <v>29</v>
      </c>
      <c r="B798" s="1" t="s">
        <v>968</v>
      </c>
      <c r="C798" s="1" t="s">
        <v>69</v>
      </c>
      <c r="D798" s="1" t="s">
        <v>1637</v>
      </c>
      <c r="E798" s="1" t="s">
        <v>334</v>
      </c>
      <c r="F798" s="1" t="s">
        <v>335</v>
      </c>
      <c r="G798" s="1" t="s">
        <v>1638</v>
      </c>
      <c r="H798" s="1" t="s">
        <v>1629</v>
      </c>
      <c r="I798" s="1">
        <v>0</v>
      </c>
      <c r="J798" s="2">
        <v>4288.8500000000004</v>
      </c>
      <c r="K798" s="2">
        <v>4288.8463725600004</v>
      </c>
      <c r="L798" s="2">
        <v>3115.16</v>
      </c>
      <c r="M798" s="2">
        <v>3115.16</v>
      </c>
      <c r="N798" s="1" t="s">
        <v>45</v>
      </c>
      <c r="O798" s="2">
        <v>1.3767659999999999</v>
      </c>
      <c r="P798" s="3">
        <f t="shared" si="24"/>
        <v>3115.16</v>
      </c>
      <c r="Q798" s="3" t="str">
        <f t="shared" si="25"/>
        <v>29085004283115.16</v>
      </c>
      <c r="R798" t="s">
        <v>91</v>
      </c>
    </row>
    <row r="799" spans="1:28" hidden="1">
      <c r="A799" t="s">
        <v>29</v>
      </c>
      <c r="B799" s="1" t="s">
        <v>968</v>
      </c>
      <c r="C799" s="1" t="s">
        <v>69</v>
      </c>
      <c r="D799" s="1" t="s">
        <v>1639</v>
      </c>
      <c r="E799" s="1" t="s">
        <v>334</v>
      </c>
      <c r="F799" s="1" t="s">
        <v>335</v>
      </c>
      <c r="G799" s="1" t="s">
        <v>1258</v>
      </c>
      <c r="H799" s="1" t="s">
        <v>1629</v>
      </c>
      <c r="I799" s="1">
        <v>0</v>
      </c>
      <c r="J799" s="2">
        <v>2282.33</v>
      </c>
      <c r="K799" s="2">
        <v>2282.3338365</v>
      </c>
      <c r="L799" s="2">
        <v>1657.75</v>
      </c>
      <c r="M799" s="2">
        <v>1657.75</v>
      </c>
      <c r="N799" s="1" t="s">
        <v>45</v>
      </c>
      <c r="O799" s="2">
        <v>1.3767659999999999</v>
      </c>
      <c r="P799" s="3">
        <f t="shared" si="24"/>
        <v>1657.75</v>
      </c>
      <c r="Q799" s="3" t="str">
        <f t="shared" si="25"/>
        <v>29085004301657.75</v>
      </c>
      <c r="R799" t="s">
        <v>91</v>
      </c>
    </row>
    <row r="800" spans="1:28" hidden="1">
      <c r="A800" t="s">
        <v>29</v>
      </c>
      <c r="B800" s="1" t="s">
        <v>968</v>
      </c>
      <c r="C800" s="1" t="s">
        <v>69</v>
      </c>
      <c r="D800" s="1" t="s">
        <v>1640</v>
      </c>
      <c r="E800" s="1" t="s">
        <v>334</v>
      </c>
      <c r="F800" s="1" t="s">
        <v>335</v>
      </c>
      <c r="G800" s="1" t="s">
        <v>1311</v>
      </c>
      <c r="H800" s="1" t="s">
        <v>1629</v>
      </c>
      <c r="I800" s="1">
        <v>0</v>
      </c>
      <c r="J800" s="2">
        <v>960.16</v>
      </c>
      <c r="K800" s="2">
        <v>960.15660839999998</v>
      </c>
      <c r="L800" s="2">
        <v>697.4</v>
      </c>
      <c r="M800" s="2">
        <v>697.4</v>
      </c>
      <c r="N800" s="1" t="s">
        <v>45</v>
      </c>
      <c r="O800" s="2">
        <v>1.3767659999999999</v>
      </c>
      <c r="P800" s="3">
        <f t="shared" si="24"/>
        <v>697.4</v>
      </c>
      <c r="Q800" s="3" t="str">
        <f t="shared" si="25"/>
        <v>2908500431697.4</v>
      </c>
      <c r="R800" t="s">
        <v>91</v>
      </c>
    </row>
    <row r="801" spans="1:18" hidden="1">
      <c r="A801" t="s">
        <v>29</v>
      </c>
      <c r="B801" s="1" t="s">
        <v>968</v>
      </c>
      <c r="C801" s="1" t="s">
        <v>69</v>
      </c>
      <c r="D801" s="1" t="s">
        <v>1641</v>
      </c>
      <c r="E801" s="1" t="s">
        <v>334</v>
      </c>
      <c r="F801" s="1" t="s">
        <v>335</v>
      </c>
      <c r="G801" s="1" t="s">
        <v>1635</v>
      </c>
      <c r="H801" s="1" t="s">
        <v>1629</v>
      </c>
      <c r="I801" s="1">
        <v>0</v>
      </c>
      <c r="J801" s="2">
        <v>1418.72</v>
      </c>
      <c r="K801" s="2">
        <v>1418.71606002</v>
      </c>
      <c r="L801" s="2">
        <v>1030.47</v>
      </c>
      <c r="M801" s="2">
        <v>1030.47</v>
      </c>
      <c r="N801" s="1" t="s">
        <v>45</v>
      </c>
      <c r="O801" s="2">
        <v>1.3767659999999999</v>
      </c>
      <c r="P801" s="3">
        <f t="shared" si="24"/>
        <v>1030.47</v>
      </c>
      <c r="Q801" s="3" t="str">
        <f t="shared" si="25"/>
        <v>29085006071030.47</v>
      </c>
      <c r="R801" t="s">
        <v>91</v>
      </c>
    </row>
    <row r="802" spans="1:18" hidden="1">
      <c r="A802" t="s">
        <v>29</v>
      </c>
      <c r="B802" s="1" t="s">
        <v>968</v>
      </c>
      <c r="C802" s="1" t="s">
        <v>69</v>
      </c>
      <c r="D802" s="1" t="s">
        <v>1642</v>
      </c>
      <c r="E802" s="1" t="s">
        <v>334</v>
      </c>
      <c r="F802" s="1" t="s">
        <v>335</v>
      </c>
      <c r="G802" s="1" t="s">
        <v>1628</v>
      </c>
      <c r="H802" s="1" t="s">
        <v>1629</v>
      </c>
      <c r="I802" s="1">
        <v>0</v>
      </c>
      <c r="J802" s="2">
        <v>181.04</v>
      </c>
      <c r="K802" s="2">
        <v>181.04472899999999</v>
      </c>
      <c r="L802" s="2">
        <v>131.5</v>
      </c>
      <c r="M802" s="2">
        <v>131.5</v>
      </c>
      <c r="N802" s="1" t="s">
        <v>45</v>
      </c>
      <c r="O802" s="2">
        <v>1.3767659999999999</v>
      </c>
      <c r="P802" s="3">
        <f t="shared" si="24"/>
        <v>131.5</v>
      </c>
      <c r="Q802" s="3" t="str">
        <f t="shared" si="25"/>
        <v>2908500703131.5</v>
      </c>
      <c r="R802" t="s">
        <v>91</v>
      </c>
    </row>
    <row r="803" spans="1:18" hidden="1">
      <c r="A803" t="s">
        <v>29</v>
      </c>
      <c r="B803" s="1" t="s">
        <v>968</v>
      </c>
      <c r="C803" s="1" t="s">
        <v>69</v>
      </c>
      <c r="D803" s="1" t="s">
        <v>1643</v>
      </c>
      <c r="E803" s="1" t="s">
        <v>334</v>
      </c>
      <c r="F803" s="1" t="s">
        <v>335</v>
      </c>
      <c r="G803" s="1" t="s">
        <v>1644</v>
      </c>
      <c r="H803" s="1" t="s">
        <v>1629</v>
      </c>
      <c r="I803" s="1">
        <v>0</v>
      </c>
      <c r="J803" s="2">
        <v>506.88</v>
      </c>
      <c r="K803" s="2">
        <v>506.88393822</v>
      </c>
      <c r="L803" s="2">
        <v>368.17</v>
      </c>
      <c r="M803" s="2">
        <v>368.17</v>
      </c>
      <c r="N803" s="1" t="s">
        <v>45</v>
      </c>
      <c r="O803" s="2">
        <v>1.3767659999999999</v>
      </c>
      <c r="P803" s="3">
        <f t="shared" si="24"/>
        <v>368.17</v>
      </c>
      <c r="Q803" s="3" t="str">
        <f t="shared" si="25"/>
        <v>2908500707368.17</v>
      </c>
      <c r="R803" t="s">
        <v>91</v>
      </c>
    </row>
    <row r="804" spans="1:18" hidden="1">
      <c r="A804" t="s">
        <v>29</v>
      </c>
      <c r="B804" s="1" t="s">
        <v>1316</v>
      </c>
      <c r="C804" s="1" t="s">
        <v>69</v>
      </c>
      <c r="D804" s="1" t="s">
        <v>1645</v>
      </c>
      <c r="E804" s="1" t="s">
        <v>156</v>
      </c>
      <c r="F804" s="1" t="s">
        <v>156</v>
      </c>
      <c r="G804" s="1" t="s">
        <v>1525</v>
      </c>
      <c r="H804" s="1" t="s">
        <v>1629</v>
      </c>
      <c r="I804" s="1">
        <v>0</v>
      </c>
      <c r="J804" s="2">
        <v>5192.92</v>
      </c>
      <c r="K804" s="2">
        <v>5192.92</v>
      </c>
      <c r="L804" s="2">
        <v>5192.92</v>
      </c>
      <c r="M804" s="2">
        <v>5192.92</v>
      </c>
      <c r="N804" s="1" t="s">
        <v>36</v>
      </c>
      <c r="O804" s="2">
        <v>1</v>
      </c>
      <c r="P804" s="3">
        <f t="shared" si="24"/>
        <v>3894.69</v>
      </c>
      <c r="Q804" s="3" t="str">
        <f t="shared" si="25"/>
        <v>2-706-113685192.92</v>
      </c>
    </row>
    <row r="805" spans="1:18" hidden="1">
      <c r="A805" t="s">
        <v>29</v>
      </c>
      <c r="B805" s="1" t="s">
        <v>995</v>
      </c>
      <c r="C805" s="1" t="s">
        <v>69</v>
      </c>
      <c r="D805" s="1" t="s">
        <v>1646</v>
      </c>
      <c r="E805" s="1" t="s">
        <v>584</v>
      </c>
      <c r="F805" s="1" t="s">
        <v>585</v>
      </c>
      <c r="G805" s="1" t="s">
        <v>752</v>
      </c>
      <c r="H805" s="1" t="s">
        <v>1647</v>
      </c>
      <c r="I805" s="1">
        <v>-1</v>
      </c>
      <c r="J805" s="2">
        <v>183</v>
      </c>
      <c r="K805" s="2">
        <v>183</v>
      </c>
      <c r="L805" s="2">
        <v>183</v>
      </c>
      <c r="M805" s="2">
        <v>183</v>
      </c>
      <c r="N805" s="1" t="s">
        <v>36</v>
      </c>
      <c r="O805" s="2">
        <v>1</v>
      </c>
      <c r="P805" s="3">
        <f t="shared" si="24"/>
        <v>137.25</v>
      </c>
      <c r="Q805" s="3" t="str">
        <f t="shared" si="25"/>
        <v>7822540183</v>
      </c>
    </row>
    <row r="806" spans="1:18" hidden="1">
      <c r="A806" t="s">
        <v>29</v>
      </c>
      <c r="B806" s="1" t="s">
        <v>995</v>
      </c>
      <c r="C806" s="1" t="s">
        <v>69</v>
      </c>
      <c r="D806" s="1" t="s">
        <v>1648</v>
      </c>
      <c r="E806" s="1" t="s">
        <v>584</v>
      </c>
      <c r="F806" s="1" t="s">
        <v>585</v>
      </c>
      <c r="G806" s="1" t="s">
        <v>752</v>
      </c>
      <c r="H806" s="1" t="s">
        <v>1647</v>
      </c>
      <c r="I806" s="1">
        <v>-1</v>
      </c>
      <c r="J806" s="2">
        <v>179</v>
      </c>
      <c r="K806" s="2">
        <v>179</v>
      </c>
      <c r="L806" s="2">
        <v>179</v>
      </c>
      <c r="M806" s="2">
        <v>179</v>
      </c>
      <c r="N806" s="1" t="s">
        <v>36</v>
      </c>
      <c r="O806" s="2">
        <v>1</v>
      </c>
      <c r="P806" s="3">
        <f t="shared" si="24"/>
        <v>134.25</v>
      </c>
      <c r="Q806" s="3" t="str">
        <f t="shared" si="25"/>
        <v>7822245179</v>
      </c>
    </row>
    <row r="807" spans="1:18" hidden="1">
      <c r="A807" t="s">
        <v>29</v>
      </c>
      <c r="B807" s="1" t="s">
        <v>995</v>
      </c>
      <c r="C807" s="1" t="s">
        <v>69</v>
      </c>
      <c r="D807" s="1" t="s">
        <v>1649</v>
      </c>
      <c r="E807" s="1" t="s">
        <v>584</v>
      </c>
      <c r="F807" s="1" t="s">
        <v>585</v>
      </c>
      <c r="G807" s="1" t="s">
        <v>752</v>
      </c>
      <c r="H807" s="1" t="s">
        <v>1647</v>
      </c>
      <c r="I807" s="1">
        <v>-1</v>
      </c>
      <c r="J807" s="2">
        <v>192.1</v>
      </c>
      <c r="K807" s="2">
        <v>192.1</v>
      </c>
      <c r="L807" s="2">
        <v>192.1</v>
      </c>
      <c r="M807" s="2">
        <v>192.1</v>
      </c>
      <c r="N807" s="1" t="s">
        <v>36</v>
      </c>
      <c r="O807" s="2">
        <v>1</v>
      </c>
      <c r="P807" s="3">
        <f t="shared" si="24"/>
        <v>144.07499999999999</v>
      </c>
      <c r="Q807" s="3" t="str">
        <f t="shared" si="25"/>
        <v>7822300192.1</v>
      </c>
    </row>
    <row r="808" spans="1:18" hidden="1">
      <c r="A808" t="s">
        <v>29</v>
      </c>
      <c r="B808" s="1" t="s">
        <v>995</v>
      </c>
      <c r="C808" s="1" t="s">
        <v>69</v>
      </c>
      <c r="D808" s="1" t="s">
        <v>1650</v>
      </c>
      <c r="E808" s="1" t="s">
        <v>334</v>
      </c>
      <c r="F808" s="1" t="s">
        <v>335</v>
      </c>
      <c r="G808" s="1" t="s">
        <v>1418</v>
      </c>
      <c r="H808" s="1" t="s">
        <v>1647</v>
      </c>
      <c r="I808" s="1">
        <v>-1</v>
      </c>
      <c r="J808" s="2">
        <v>5264.6</v>
      </c>
      <c r="K808" s="2">
        <v>5264.6029699600003</v>
      </c>
      <c r="L808" s="2">
        <v>3823.18</v>
      </c>
      <c r="M808" s="2">
        <v>3823.18</v>
      </c>
      <c r="N808" s="1" t="s">
        <v>45</v>
      </c>
      <c r="O808" s="2">
        <v>1.377022</v>
      </c>
      <c r="P808" s="3">
        <f t="shared" si="24"/>
        <v>3823.18</v>
      </c>
      <c r="Q808" s="3" t="str">
        <f t="shared" si="25"/>
        <v>29085015133823.18</v>
      </c>
      <c r="R808" t="s">
        <v>91</v>
      </c>
    </row>
    <row r="809" spans="1:18" hidden="1">
      <c r="A809" t="s">
        <v>29</v>
      </c>
      <c r="B809" s="1" t="s">
        <v>995</v>
      </c>
      <c r="C809" s="1" t="s">
        <v>69</v>
      </c>
      <c r="D809" s="1" t="s">
        <v>1651</v>
      </c>
      <c r="E809" s="1" t="s">
        <v>334</v>
      </c>
      <c r="F809" s="1" t="s">
        <v>335</v>
      </c>
      <c r="G809" s="1" t="s">
        <v>1258</v>
      </c>
      <c r="H809" s="1" t="s">
        <v>1647</v>
      </c>
      <c r="I809" s="1">
        <v>-1</v>
      </c>
      <c r="J809" s="2">
        <v>1917.52</v>
      </c>
      <c r="K809" s="2">
        <v>1917.5169052199999</v>
      </c>
      <c r="L809" s="2">
        <v>1392.51</v>
      </c>
      <c r="M809" s="2">
        <v>1392.51</v>
      </c>
      <c r="N809" s="1" t="s">
        <v>45</v>
      </c>
      <c r="O809" s="2">
        <v>1.377022</v>
      </c>
      <c r="P809" s="3">
        <f t="shared" si="24"/>
        <v>1392.51</v>
      </c>
      <c r="Q809" s="3" t="str">
        <f t="shared" si="25"/>
        <v>29085019671392.51</v>
      </c>
      <c r="R809" t="s">
        <v>91</v>
      </c>
    </row>
    <row r="810" spans="1:18" hidden="1">
      <c r="A810" t="s">
        <v>29</v>
      </c>
      <c r="B810" s="1" t="s">
        <v>995</v>
      </c>
      <c r="C810" s="1" t="s">
        <v>69</v>
      </c>
      <c r="D810" s="1" t="s">
        <v>1652</v>
      </c>
      <c r="E810" s="1" t="s">
        <v>334</v>
      </c>
      <c r="F810" s="1" t="s">
        <v>335</v>
      </c>
      <c r="G810" s="1" t="s">
        <v>1311</v>
      </c>
      <c r="H810" s="1" t="s">
        <v>1647</v>
      </c>
      <c r="I810" s="1">
        <v>-1</v>
      </c>
      <c r="J810" s="2">
        <v>647.80999999999995</v>
      </c>
      <c r="K810" s="2">
        <v>647.80622968</v>
      </c>
      <c r="L810" s="2">
        <v>470.44</v>
      </c>
      <c r="M810" s="2">
        <v>470.44</v>
      </c>
      <c r="N810" s="1" t="s">
        <v>45</v>
      </c>
      <c r="O810" s="2">
        <v>1.377022</v>
      </c>
      <c r="P810" s="3">
        <f t="shared" si="24"/>
        <v>470.44</v>
      </c>
      <c r="Q810" s="3" t="str">
        <f t="shared" si="25"/>
        <v>2908502608470.44</v>
      </c>
      <c r="R810" t="s">
        <v>91</v>
      </c>
    </row>
    <row r="811" spans="1:18" hidden="1">
      <c r="A811" t="s">
        <v>29</v>
      </c>
      <c r="B811" s="1" t="s">
        <v>995</v>
      </c>
      <c r="C811" s="1" t="s">
        <v>69</v>
      </c>
      <c r="D811" s="1" t="s">
        <v>1653</v>
      </c>
      <c r="E811" s="1" t="s">
        <v>334</v>
      </c>
      <c r="F811" s="1" t="s">
        <v>335</v>
      </c>
      <c r="G811" s="1" t="s">
        <v>1654</v>
      </c>
      <c r="H811" s="1" t="s">
        <v>1647</v>
      </c>
      <c r="I811" s="1">
        <v>-1</v>
      </c>
      <c r="J811" s="2">
        <v>14728.23</v>
      </c>
      <c r="K811" s="2">
        <v>14728.227975620001</v>
      </c>
      <c r="L811" s="2">
        <v>10695.71</v>
      </c>
      <c r="M811" s="2">
        <v>10695.71</v>
      </c>
      <c r="N811" s="1" t="s">
        <v>45</v>
      </c>
      <c r="O811" s="2">
        <v>1.377022</v>
      </c>
      <c r="P811" s="3">
        <f t="shared" si="24"/>
        <v>10695.71</v>
      </c>
      <c r="Q811" s="3" t="str">
        <f t="shared" si="25"/>
        <v>290850260910695.71</v>
      </c>
      <c r="R811" t="s">
        <v>91</v>
      </c>
    </row>
    <row r="812" spans="1:18" hidden="1">
      <c r="A812" t="s">
        <v>29</v>
      </c>
      <c r="B812" s="1" t="s">
        <v>995</v>
      </c>
      <c r="C812" s="1" t="s">
        <v>69</v>
      </c>
      <c r="D812" s="1" t="s">
        <v>1655</v>
      </c>
      <c r="E812" s="1" t="s">
        <v>334</v>
      </c>
      <c r="F812" s="1" t="s">
        <v>335</v>
      </c>
      <c r="G812" s="1" t="s">
        <v>1414</v>
      </c>
      <c r="H812" s="1" t="s">
        <v>1647</v>
      </c>
      <c r="I812" s="1">
        <v>-1</v>
      </c>
      <c r="J812" s="2">
        <v>17.059999999999999</v>
      </c>
      <c r="K812" s="2">
        <v>17.06130258</v>
      </c>
      <c r="L812" s="2">
        <v>12.39</v>
      </c>
      <c r="M812" s="2">
        <v>12.39</v>
      </c>
      <c r="N812" s="1" t="s">
        <v>45</v>
      </c>
      <c r="O812" s="2">
        <v>1.377022</v>
      </c>
      <c r="P812" s="3">
        <f t="shared" si="24"/>
        <v>12.39</v>
      </c>
      <c r="Q812" s="3" t="str">
        <f t="shared" si="25"/>
        <v>290850304312.39</v>
      </c>
      <c r="R812" t="s">
        <v>91</v>
      </c>
    </row>
    <row r="813" spans="1:18" hidden="1">
      <c r="A813" t="s">
        <v>29</v>
      </c>
      <c r="B813" s="1" t="s">
        <v>995</v>
      </c>
      <c r="C813" s="1" t="s">
        <v>69</v>
      </c>
      <c r="D813" s="1" t="s">
        <v>1656</v>
      </c>
      <c r="E813" s="1" t="s">
        <v>334</v>
      </c>
      <c r="F813" s="1" t="s">
        <v>335</v>
      </c>
      <c r="G813" s="1" t="s">
        <v>1657</v>
      </c>
      <c r="H813" s="1" t="s">
        <v>1647</v>
      </c>
      <c r="I813" s="1">
        <v>-1</v>
      </c>
      <c r="J813" s="2">
        <v>265.56</v>
      </c>
      <c r="K813" s="2">
        <v>265.55869269999999</v>
      </c>
      <c r="L813" s="2">
        <v>192.85</v>
      </c>
      <c r="M813" s="2">
        <v>192.85</v>
      </c>
      <c r="N813" s="1" t="s">
        <v>45</v>
      </c>
      <c r="O813" s="2">
        <v>1.377022</v>
      </c>
      <c r="P813" s="3">
        <f t="shared" si="24"/>
        <v>192.85</v>
      </c>
      <c r="Q813" s="3" t="str">
        <f t="shared" si="25"/>
        <v>2908503048192.85</v>
      </c>
      <c r="R813" t="s">
        <v>91</v>
      </c>
    </row>
    <row r="814" spans="1:18" hidden="1">
      <c r="A814" t="s">
        <v>29</v>
      </c>
      <c r="B814" s="1" t="s">
        <v>995</v>
      </c>
      <c r="C814" s="1" t="s">
        <v>69</v>
      </c>
      <c r="D814" s="1" t="s">
        <v>1658</v>
      </c>
      <c r="E814" s="1" t="s">
        <v>334</v>
      </c>
      <c r="F814" s="1" t="s">
        <v>335</v>
      </c>
      <c r="G814" s="1" t="s">
        <v>1659</v>
      </c>
      <c r="H814" s="1" t="s">
        <v>1647</v>
      </c>
      <c r="I814" s="1">
        <v>-1</v>
      </c>
      <c r="J814" s="2">
        <v>111.77</v>
      </c>
      <c r="K814" s="2">
        <v>111.77287574</v>
      </c>
      <c r="L814" s="2">
        <v>81.17</v>
      </c>
      <c r="M814" s="2">
        <v>81.17</v>
      </c>
      <c r="N814" s="1" t="s">
        <v>45</v>
      </c>
      <c r="O814" s="2">
        <v>1.377022</v>
      </c>
      <c r="P814" s="3">
        <f t="shared" si="24"/>
        <v>81.17</v>
      </c>
      <c r="Q814" s="3" t="str">
        <f t="shared" si="25"/>
        <v>290850343581.17</v>
      </c>
      <c r="R814" t="s">
        <v>91</v>
      </c>
    </row>
    <row r="815" spans="1:18" hidden="1">
      <c r="A815" t="s">
        <v>29</v>
      </c>
      <c r="B815" s="1" t="s">
        <v>995</v>
      </c>
      <c r="C815" s="1" t="s">
        <v>69</v>
      </c>
      <c r="D815" s="1" t="s">
        <v>1660</v>
      </c>
      <c r="E815" s="1" t="s">
        <v>392</v>
      </c>
      <c r="F815" s="1" t="s">
        <v>393</v>
      </c>
      <c r="G815" s="1" t="s">
        <v>1281</v>
      </c>
      <c r="H815" s="1" t="s">
        <v>1647</v>
      </c>
      <c r="I815" s="1">
        <v>-1</v>
      </c>
      <c r="J815" s="2">
        <v>54579</v>
      </c>
      <c r="K815" s="2">
        <v>54579</v>
      </c>
      <c r="L815" s="2">
        <v>54579</v>
      </c>
      <c r="M815" s="2">
        <v>54579</v>
      </c>
      <c r="N815" s="1" t="s">
        <v>36</v>
      </c>
      <c r="O815" s="2">
        <v>1</v>
      </c>
      <c r="P815" s="3">
        <f t="shared" si="24"/>
        <v>40934.25</v>
      </c>
      <c r="Q815" s="3" t="str">
        <f t="shared" si="25"/>
        <v>000211254579</v>
      </c>
      <c r="R815" t="s">
        <v>395</v>
      </c>
    </row>
    <row r="816" spans="1:18" hidden="1">
      <c r="A816" t="s">
        <v>29</v>
      </c>
      <c r="B816" s="1" t="s">
        <v>1006</v>
      </c>
      <c r="C816" s="1" t="s">
        <v>69</v>
      </c>
      <c r="D816" s="1" t="s">
        <v>1661</v>
      </c>
      <c r="E816" s="1" t="s">
        <v>616</v>
      </c>
      <c r="F816" s="1" t="s">
        <v>222</v>
      </c>
      <c r="G816" s="1" t="s">
        <v>1662</v>
      </c>
      <c r="H816" s="1" t="s">
        <v>1663</v>
      </c>
      <c r="I816" s="1">
        <v>-2</v>
      </c>
      <c r="J816" s="2">
        <v>2701.35</v>
      </c>
      <c r="K816" s="2">
        <v>2701.35</v>
      </c>
      <c r="L816" s="2">
        <v>2701.35</v>
      </c>
      <c r="M816" s="2">
        <v>2701.35</v>
      </c>
      <c r="N816" s="1" t="s">
        <v>36</v>
      </c>
      <c r="O816" s="2">
        <v>1</v>
      </c>
      <c r="P816" s="3">
        <f t="shared" si="24"/>
        <v>2026.0124999999998</v>
      </c>
      <c r="Q816" s="3" t="str">
        <f t="shared" si="25"/>
        <v>FGL00054172701.35</v>
      </c>
    </row>
    <row r="817" spans="1:20" hidden="1">
      <c r="A817" t="s">
        <v>29</v>
      </c>
      <c r="B817" s="1" t="s">
        <v>1006</v>
      </c>
      <c r="C817" s="1" t="s">
        <v>69</v>
      </c>
      <c r="D817" s="1" t="s">
        <v>1664</v>
      </c>
      <c r="E817" s="1" t="s">
        <v>616</v>
      </c>
      <c r="F817" s="1" t="s">
        <v>222</v>
      </c>
      <c r="G817" s="1" t="s">
        <v>1662</v>
      </c>
      <c r="H817" s="1" t="s">
        <v>1663</v>
      </c>
      <c r="I817" s="1">
        <v>-2</v>
      </c>
      <c r="J817" s="2">
        <v>51231.38</v>
      </c>
      <c r="K817" s="2">
        <v>51231.38</v>
      </c>
      <c r="L817" s="2">
        <v>51231.38</v>
      </c>
      <c r="M817" s="2">
        <v>51231.38</v>
      </c>
      <c r="N817" s="1" t="s">
        <v>36</v>
      </c>
      <c r="O817" s="2">
        <v>1</v>
      </c>
      <c r="P817" s="3">
        <f t="shared" si="24"/>
        <v>38423.534999999996</v>
      </c>
      <c r="Q817" s="3" t="str">
        <f t="shared" si="25"/>
        <v>FGL000541851231.38</v>
      </c>
    </row>
    <row r="818" spans="1:20" hidden="1">
      <c r="A818" t="s">
        <v>29</v>
      </c>
      <c r="B818" s="1" t="s">
        <v>1006</v>
      </c>
      <c r="C818" s="1" t="s">
        <v>69</v>
      </c>
      <c r="D818" s="1" t="s">
        <v>1665</v>
      </c>
      <c r="E818" s="1" t="s">
        <v>616</v>
      </c>
      <c r="F818" s="1" t="s">
        <v>222</v>
      </c>
      <c r="G818" s="1" t="s">
        <v>1662</v>
      </c>
      <c r="H818" s="1" t="s">
        <v>1663</v>
      </c>
      <c r="I818" s="1">
        <v>-2</v>
      </c>
      <c r="J818" s="2">
        <v>53079.74</v>
      </c>
      <c r="K818" s="2">
        <v>53079.74</v>
      </c>
      <c r="L818" s="2">
        <v>53079.74</v>
      </c>
      <c r="M818" s="2">
        <v>53079.74</v>
      </c>
      <c r="N818" s="1" t="s">
        <v>36</v>
      </c>
      <c r="O818" s="2">
        <v>1</v>
      </c>
      <c r="P818" s="3">
        <f t="shared" si="24"/>
        <v>39809.805</v>
      </c>
      <c r="Q818" s="3" t="str">
        <f t="shared" si="25"/>
        <v>FGL000524653079.74</v>
      </c>
    </row>
    <row r="819" spans="1:20" hidden="1">
      <c r="A819" t="s">
        <v>29</v>
      </c>
      <c r="B819" s="1" t="s">
        <v>1006</v>
      </c>
      <c r="C819" s="1" t="s">
        <v>69</v>
      </c>
      <c r="D819" s="1" t="s">
        <v>1666</v>
      </c>
      <c r="E819" s="1" t="s">
        <v>392</v>
      </c>
      <c r="F819" s="1" t="s">
        <v>393</v>
      </c>
      <c r="G819" s="1" t="s">
        <v>1281</v>
      </c>
      <c r="H819" s="1" t="s">
        <v>1663</v>
      </c>
      <c r="I819" s="1">
        <v>-2</v>
      </c>
      <c r="J819" s="2">
        <v>18080</v>
      </c>
      <c r="K819" s="2">
        <v>18080</v>
      </c>
      <c r="L819" s="2">
        <v>18080</v>
      </c>
      <c r="M819" s="2">
        <v>18080</v>
      </c>
      <c r="N819" s="1" t="s">
        <v>36</v>
      </c>
      <c r="O819" s="2">
        <v>1</v>
      </c>
      <c r="P819" s="3">
        <f t="shared" si="24"/>
        <v>13560</v>
      </c>
      <c r="Q819" s="3" t="str">
        <f t="shared" si="25"/>
        <v>000211618080</v>
      </c>
      <c r="R819" t="s">
        <v>395</v>
      </c>
    </row>
    <row r="820" spans="1:20" hidden="1">
      <c r="A820" t="s">
        <v>29</v>
      </c>
      <c r="B820" s="1" t="s">
        <v>1006</v>
      </c>
      <c r="C820" s="1" t="s">
        <v>69</v>
      </c>
      <c r="D820" s="1" t="s">
        <v>1667</v>
      </c>
      <c r="E820" s="1" t="s">
        <v>334</v>
      </c>
      <c r="F820" s="1" t="s">
        <v>335</v>
      </c>
      <c r="G820" s="1" t="s">
        <v>1376</v>
      </c>
      <c r="H820" s="1" t="s">
        <v>1663</v>
      </c>
      <c r="I820" s="1">
        <v>-2</v>
      </c>
      <c r="J820" s="2">
        <v>37093.54</v>
      </c>
      <c r="K820" s="2">
        <v>37093.535360000002</v>
      </c>
      <c r="L820" s="2">
        <v>26944</v>
      </c>
      <c r="M820" s="2">
        <v>26944</v>
      </c>
      <c r="N820" s="1" t="s">
        <v>45</v>
      </c>
      <c r="O820" s="2">
        <v>1.37669</v>
      </c>
      <c r="P820" s="3">
        <f t="shared" si="24"/>
        <v>26944</v>
      </c>
      <c r="Q820" s="3" t="str">
        <f t="shared" si="25"/>
        <v>190980144526944</v>
      </c>
      <c r="R820" t="s">
        <v>91</v>
      </c>
    </row>
    <row r="821" spans="1:20" hidden="1">
      <c r="A821" t="s">
        <v>29</v>
      </c>
      <c r="B821" s="1" t="s">
        <v>1006</v>
      </c>
      <c r="C821" s="1" t="s">
        <v>69</v>
      </c>
      <c r="D821" s="1" t="s">
        <v>1668</v>
      </c>
      <c r="E821" s="1" t="s">
        <v>334</v>
      </c>
      <c r="F821" s="1" t="s">
        <v>335</v>
      </c>
      <c r="G821" s="1" t="s">
        <v>1669</v>
      </c>
      <c r="H821" s="1" t="s">
        <v>1663</v>
      </c>
      <c r="I821" s="1">
        <v>-2</v>
      </c>
      <c r="J821" s="2">
        <v>1095.42</v>
      </c>
      <c r="K821" s="2">
        <v>1095.4184660999999</v>
      </c>
      <c r="L821" s="2">
        <v>795.69</v>
      </c>
      <c r="M821" s="2">
        <v>795.69</v>
      </c>
      <c r="N821" s="1" t="s">
        <v>45</v>
      </c>
      <c r="O821" s="2">
        <v>1.37669</v>
      </c>
      <c r="P821" s="3">
        <f t="shared" si="24"/>
        <v>795.69</v>
      </c>
      <c r="Q821" s="3" t="str">
        <f t="shared" si="25"/>
        <v>2908504109795.69</v>
      </c>
      <c r="R821" t="s">
        <v>91</v>
      </c>
    </row>
    <row r="822" spans="1:20" hidden="1">
      <c r="A822" t="s">
        <v>29</v>
      </c>
      <c r="B822" s="1" t="s">
        <v>1006</v>
      </c>
      <c r="C822" s="1" t="s">
        <v>69</v>
      </c>
      <c r="D822" s="1" t="s">
        <v>1670</v>
      </c>
      <c r="E822" s="1" t="s">
        <v>334</v>
      </c>
      <c r="F822" s="1" t="s">
        <v>335</v>
      </c>
      <c r="G822" s="1" t="s">
        <v>874</v>
      </c>
      <c r="H822" s="1" t="s">
        <v>1663</v>
      </c>
      <c r="I822" s="1">
        <v>-2</v>
      </c>
      <c r="J822" s="2">
        <v>608.91</v>
      </c>
      <c r="K822" s="2">
        <v>608.909987</v>
      </c>
      <c r="L822" s="2">
        <v>442.3</v>
      </c>
      <c r="M822" s="2">
        <v>442.3</v>
      </c>
      <c r="N822" s="1" t="s">
        <v>45</v>
      </c>
      <c r="O822" s="2">
        <v>1.37669</v>
      </c>
      <c r="P822" s="3">
        <f t="shared" si="24"/>
        <v>442.3</v>
      </c>
      <c r="Q822" s="3" t="str">
        <f t="shared" si="25"/>
        <v>2908504237442.3</v>
      </c>
      <c r="R822" t="s">
        <v>91</v>
      </c>
    </row>
    <row r="823" spans="1:20" hidden="1">
      <c r="A823" t="s">
        <v>29</v>
      </c>
      <c r="B823" s="1" t="s">
        <v>1006</v>
      </c>
      <c r="C823" s="1" t="s">
        <v>69</v>
      </c>
      <c r="D823" s="1" t="s">
        <v>1671</v>
      </c>
      <c r="E823" s="1" t="s">
        <v>334</v>
      </c>
      <c r="F823" s="1" t="s">
        <v>335</v>
      </c>
      <c r="G823" s="1" t="s">
        <v>1672</v>
      </c>
      <c r="H823" s="1" t="s">
        <v>1663</v>
      </c>
      <c r="I823" s="1">
        <v>-2</v>
      </c>
      <c r="J823" s="2">
        <v>615.46</v>
      </c>
      <c r="K823" s="2">
        <v>615.46303139999998</v>
      </c>
      <c r="L823" s="2">
        <v>447.06</v>
      </c>
      <c r="M823" s="2">
        <v>447.06</v>
      </c>
      <c r="N823" s="1" t="s">
        <v>45</v>
      </c>
      <c r="O823" s="2">
        <v>1.37669</v>
      </c>
      <c r="P823" s="3">
        <f t="shared" si="24"/>
        <v>447.06</v>
      </c>
      <c r="Q823" s="3" t="str">
        <f t="shared" si="25"/>
        <v>2908504240447.06</v>
      </c>
      <c r="R823" t="s">
        <v>91</v>
      </c>
    </row>
    <row r="824" spans="1:20" hidden="1">
      <c r="A824" t="s">
        <v>29</v>
      </c>
      <c r="B824" s="1" t="s">
        <v>1006</v>
      </c>
      <c r="C824" s="1" t="s">
        <v>69</v>
      </c>
      <c r="D824" s="1" t="s">
        <v>1673</v>
      </c>
      <c r="E824" s="1" t="s">
        <v>334</v>
      </c>
      <c r="F824" s="1" t="s">
        <v>335</v>
      </c>
      <c r="G824" s="1" t="s">
        <v>874</v>
      </c>
      <c r="H824" s="1" t="s">
        <v>1663</v>
      </c>
      <c r="I824" s="1">
        <v>-2</v>
      </c>
      <c r="J824" s="2">
        <v>115.2</v>
      </c>
      <c r="K824" s="2">
        <v>115.2014192</v>
      </c>
      <c r="L824" s="2">
        <v>83.68</v>
      </c>
      <c r="M824" s="2">
        <v>83.68</v>
      </c>
      <c r="N824" s="1" t="s">
        <v>45</v>
      </c>
      <c r="O824" s="2">
        <v>1.37669</v>
      </c>
      <c r="P824" s="3">
        <f t="shared" si="24"/>
        <v>83.68</v>
      </c>
      <c r="Q824" s="3" t="str">
        <f t="shared" si="25"/>
        <v>290850458383.68</v>
      </c>
      <c r="R824" t="s">
        <v>91</v>
      </c>
    </row>
    <row r="825" spans="1:20" hidden="1">
      <c r="A825" t="s">
        <v>29</v>
      </c>
      <c r="B825" s="1" t="s">
        <v>1006</v>
      </c>
      <c r="C825" s="1" t="s">
        <v>69</v>
      </c>
      <c r="D825" s="1" t="s">
        <v>1674</v>
      </c>
      <c r="E825" s="1" t="s">
        <v>334</v>
      </c>
      <c r="F825" s="1" t="s">
        <v>335</v>
      </c>
      <c r="G825" s="1" t="s">
        <v>1675</v>
      </c>
      <c r="H825" s="1" t="s">
        <v>1663</v>
      </c>
      <c r="I825" s="1">
        <v>-2</v>
      </c>
      <c r="J825" s="2">
        <v>13931.22</v>
      </c>
      <c r="K825" s="2">
        <v>13931.2217184</v>
      </c>
      <c r="L825" s="2">
        <v>10119.36</v>
      </c>
      <c r="M825" s="2">
        <v>10119.36</v>
      </c>
      <c r="N825" s="1" t="s">
        <v>45</v>
      </c>
      <c r="O825" s="2">
        <v>1.37669</v>
      </c>
      <c r="P825" s="3">
        <f t="shared" si="24"/>
        <v>10119.36</v>
      </c>
      <c r="Q825" s="3" t="str">
        <f t="shared" si="25"/>
        <v>290850496710119.36</v>
      </c>
      <c r="R825" t="s">
        <v>91</v>
      </c>
    </row>
    <row r="826" spans="1:20" hidden="1">
      <c r="A826" t="s">
        <v>29</v>
      </c>
      <c r="B826" s="1" t="s">
        <v>1006</v>
      </c>
      <c r="C826" s="1" t="s">
        <v>69</v>
      </c>
      <c r="D826" s="1" t="s">
        <v>1676</v>
      </c>
      <c r="E826" s="1" t="s">
        <v>334</v>
      </c>
      <c r="F826" s="1" t="s">
        <v>335</v>
      </c>
      <c r="G826" s="1" t="s">
        <v>1677</v>
      </c>
      <c r="H826" s="1" t="s">
        <v>1663</v>
      </c>
      <c r="I826" s="1">
        <v>-2</v>
      </c>
      <c r="J826" s="2">
        <v>2190.92</v>
      </c>
      <c r="K826" s="2">
        <v>2190.9195335999998</v>
      </c>
      <c r="L826" s="2">
        <v>1591.44</v>
      </c>
      <c r="M826" s="2">
        <v>1591.44</v>
      </c>
      <c r="N826" s="1" t="s">
        <v>45</v>
      </c>
      <c r="O826" s="2">
        <v>1.37669</v>
      </c>
      <c r="P826" s="3">
        <f t="shared" si="24"/>
        <v>1591.44</v>
      </c>
      <c r="Q826" s="3" t="str">
        <f t="shared" si="25"/>
        <v>29085052841591.44</v>
      </c>
      <c r="R826" t="s">
        <v>91</v>
      </c>
    </row>
    <row r="827" spans="1:20" hidden="1">
      <c r="A827" t="s">
        <v>29</v>
      </c>
      <c r="B827" s="1" t="s">
        <v>1006</v>
      </c>
      <c r="C827" s="1" t="s">
        <v>69</v>
      </c>
      <c r="D827" s="1" t="s">
        <v>1678</v>
      </c>
      <c r="E827" s="1" t="s">
        <v>334</v>
      </c>
      <c r="F827" s="1" t="s">
        <v>335</v>
      </c>
      <c r="G827" s="1" t="s">
        <v>1677</v>
      </c>
      <c r="H827" s="1" t="s">
        <v>1663</v>
      </c>
      <c r="I827" s="1">
        <v>-2</v>
      </c>
      <c r="J827" s="2">
        <v>2282.21</v>
      </c>
      <c r="K827" s="2">
        <v>2282.2078474999998</v>
      </c>
      <c r="L827" s="2">
        <v>1657.75</v>
      </c>
      <c r="M827" s="2">
        <v>1657.75</v>
      </c>
      <c r="N827" s="1" t="s">
        <v>45</v>
      </c>
      <c r="O827" s="2">
        <v>1.37669</v>
      </c>
      <c r="P827" s="3">
        <f t="shared" si="24"/>
        <v>1657.75</v>
      </c>
      <c r="Q827" s="3" t="str">
        <f t="shared" si="25"/>
        <v>29085055521657.75</v>
      </c>
      <c r="R827" t="s">
        <v>91</v>
      </c>
    </row>
    <row r="828" spans="1:20" hidden="1">
      <c r="A828" t="s">
        <v>29</v>
      </c>
      <c r="B828" s="1" t="s">
        <v>1006</v>
      </c>
      <c r="C828" s="1" t="s">
        <v>69</v>
      </c>
      <c r="D828" s="1" t="s">
        <v>1679</v>
      </c>
      <c r="E828" s="1" t="s">
        <v>334</v>
      </c>
      <c r="F828" s="1" t="s">
        <v>335</v>
      </c>
      <c r="G828" s="1" t="s">
        <v>1680</v>
      </c>
      <c r="H828" s="1" t="s">
        <v>1663</v>
      </c>
      <c r="I828" s="1">
        <v>-2</v>
      </c>
      <c r="J828" s="2">
        <v>54.97</v>
      </c>
      <c r="K828" s="2">
        <v>54.971231699999997</v>
      </c>
      <c r="L828" s="2">
        <v>39.93</v>
      </c>
      <c r="M828" s="2">
        <v>39.93</v>
      </c>
      <c r="N828" s="1" t="s">
        <v>45</v>
      </c>
      <c r="O828" s="2">
        <v>1.37669</v>
      </c>
      <c r="P828" s="3">
        <f t="shared" si="24"/>
        <v>39.93</v>
      </c>
      <c r="Q828" s="3" t="str">
        <f t="shared" si="25"/>
        <v>290850555339.93</v>
      </c>
      <c r="R828" t="s">
        <v>91</v>
      </c>
    </row>
    <row r="829" spans="1:20" hidden="1">
      <c r="A829" t="s">
        <v>29</v>
      </c>
      <c r="B829" s="1" t="s">
        <v>264</v>
      </c>
      <c r="C829" s="1" t="s">
        <v>69</v>
      </c>
      <c r="D829" s="1" t="s">
        <v>1681</v>
      </c>
      <c r="E829" s="1" t="s">
        <v>1682</v>
      </c>
      <c r="F829" s="1" t="s">
        <v>1683</v>
      </c>
      <c r="G829" s="1" t="s">
        <v>1684</v>
      </c>
      <c r="H829" s="1" t="s">
        <v>1685</v>
      </c>
      <c r="I829" s="1">
        <v>-3</v>
      </c>
      <c r="J829" s="2">
        <v>14025.5</v>
      </c>
      <c r="K829" s="2">
        <v>14025.5</v>
      </c>
      <c r="L829" s="2">
        <v>10000</v>
      </c>
      <c r="M829" s="2">
        <v>10000</v>
      </c>
      <c r="N829" s="1" t="s">
        <v>45</v>
      </c>
      <c r="O829" s="2">
        <v>1.40255</v>
      </c>
      <c r="P829" s="3">
        <f t="shared" si="24"/>
        <v>10000</v>
      </c>
      <c r="Q829" s="3" t="str">
        <f t="shared" si="25"/>
        <v>157510000</v>
      </c>
      <c r="R829" t="s">
        <v>1686</v>
      </c>
      <c r="S829" t="s">
        <v>60</v>
      </c>
      <c r="T829" t="s">
        <v>102</v>
      </c>
    </row>
    <row r="830" spans="1:20" hidden="1">
      <c r="A830" t="s">
        <v>29</v>
      </c>
      <c r="B830" s="1" t="s">
        <v>710</v>
      </c>
      <c r="C830" s="1" t="s">
        <v>69</v>
      </c>
      <c r="D830" s="1" t="s">
        <v>1687</v>
      </c>
      <c r="E830" s="1" t="s">
        <v>328</v>
      </c>
      <c r="F830" s="1" t="s">
        <v>329</v>
      </c>
      <c r="G830" s="1" t="s">
        <v>1688</v>
      </c>
      <c r="H830" s="1" t="s">
        <v>1685</v>
      </c>
      <c r="I830" s="1">
        <v>-3</v>
      </c>
      <c r="J830" s="2">
        <v>638.45000000000005</v>
      </c>
      <c r="K830" s="2">
        <v>638.45000000000005</v>
      </c>
      <c r="L830" s="2">
        <v>638.45000000000005</v>
      </c>
      <c r="M830" s="2">
        <v>638.45000000000005</v>
      </c>
      <c r="N830" s="1" t="s">
        <v>36</v>
      </c>
      <c r="O830" s="2">
        <v>1</v>
      </c>
      <c r="P830" s="3">
        <f t="shared" si="24"/>
        <v>478.83750000000003</v>
      </c>
      <c r="Q830" s="3" t="str">
        <f t="shared" si="25"/>
        <v>5721638.45</v>
      </c>
    </row>
    <row r="831" spans="1:20" hidden="1">
      <c r="A831" t="s">
        <v>29</v>
      </c>
      <c r="B831" s="1" t="s">
        <v>1028</v>
      </c>
      <c r="C831" s="1" t="s">
        <v>69</v>
      </c>
      <c r="D831" s="1" t="s">
        <v>1689</v>
      </c>
      <c r="E831" s="1" t="s">
        <v>221</v>
      </c>
      <c r="F831" s="1" t="s">
        <v>222</v>
      </c>
      <c r="G831" s="1" t="s">
        <v>1690</v>
      </c>
      <c r="H831" s="1" t="s">
        <v>1685</v>
      </c>
      <c r="I831" s="1">
        <v>-3</v>
      </c>
      <c r="J831" s="2">
        <v>1244.92</v>
      </c>
      <c r="K831" s="2">
        <v>1244.9245619999999</v>
      </c>
      <c r="L831" s="2">
        <v>903</v>
      </c>
      <c r="M831" s="2">
        <v>903</v>
      </c>
      <c r="N831" s="1" t="s">
        <v>45</v>
      </c>
      <c r="O831" s="2">
        <v>1.378654</v>
      </c>
      <c r="P831" s="3">
        <f t="shared" ref="P831:P894" si="26">IF(N831="CAD",$P$1,1)*M831</f>
        <v>903</v>
      </c>
      <c r="Q831" s="3" t="str">
        <f t="shared" ref="Q831:Q894" si="27">D831&amp;M831</f>
        <v>FGL0005468903</v>
      </c>
    </row>
    <row r="832" spans="1:20" hidden="1">
      <c r="A832" t="s">
        <v>29</v>
      </c>
      <c r="B832" s="1" t="s">
        <v>1028</v>
      </c>
      <c r="C832" s="1" t="s">
        <v>69</v>
      </c>
      <c r="D832" s="1" t="s">
        <v>1691</v>
      </c>
      <c r="E832" s="1" t="s">
        <v>616</v>
      </c>
      <c r="F832" s="1" t="s">
        <v>222</v>
      </c>
      <c r="G832" s="1" t="s">
        <v>1662</v>
      </c>
      <c r="H832" s="1" t="s">
        <v>1685</v>
      </c>
      <c r="I832" s="1">
        <v>-3</v>
      </c>
      <c r="J832" s="2">
        <v>2237.63</v>
      </c>
      <c r="K832" s="2">
        <v>2237.63</v>
      </c>
      <c r="L832" s="2">
        <v>2237.63</v>
      </c>
      <c r="M832" s="2">
        <v>2237.63</v>
      </c>
      <c r="N832" s="1" t="s">
        <v>36</v>
      </c>
      <c r="O832" s="2">
        <v>1</v>
      </c>
      <c r="P832" s="3">
        <f t="shared" si="26"/>
        <v>1678.2225000000001</v>
      </c>
      <c r="Q832" s="3" t="str">
        <f t="shared" si="27"/>
        <v>FGL00054642237.63</v>
      </c>
    </row>
    <row r="833" spans="1:18" hidden="1">
      <c r="A833" t="s">
        <v>29</v>
      </c>
      <c r="B833" s="1" t="s">
        <v>1028</v>
      </c>
      <c r="C833" s="1" t="s">
        <v>69</v>
      </c>
      <c r="D833" s="1" t="s">
        <v>1692</v>
      </c>
      <c r="E833" s="1" t="s">
        <v>584</v>
      </c>
      <c r="F833" s="1" t="s">
        <v>585</v>
      </c>
      <c r="G833" s="1" t="s">
        <v>752</v>
      </c>
      <c r="H833" s="1" t="s">
        <v>1685</v>
      </c>
      <c r="I833" s="1">
        <v>-3</v>
      </c>
      <c r="J833" s="2">
        <v>193.91</v>
      </c>
      <c r="K833" s="2">
        <v>193.91</v>
      </c>
      <c r="L833" s="2">
        <v>193.91</v>
      </c>
      <c r="M833" s="2">
        <v>193.91</v>
      </c>
      <c r="N833" s="1" t="s">
        <v>36</v>
      </c>
      <c r="O833" s="2">
        <v>1</v>
      </c>
      <c r="P833" s="3">
        <f t="shared" si="26"/>
        <v>145.4325</v>
      </c>
      <c r="Q833" s="3" t="str">
        <f t="shared" si="27"/>
        <v>7832414193.91</v>
      </c>
    </row>
    <row r="834" spans="1:18" hidden="1">
      <c r="A834" t="s">
        <v>29</v>
      </c>
      <c r="B834" s="1" t="s">
        <v>1028</v>
      </c>
      <c r="C834" s="1" t="s">
        <v>69</v>
      </c>
      <c r="D834" s="1" t="s">
        <v>1693</v>
      </c>
      <c r="E834" s="1" t="s">
        <v>584</v>
      </c>
      <c r="F834" s="1" t="s">
        <v>585</v>
      </c>
      <c r="G834" s="1" t="s">
        <v>752</v>
      </c>
      <c r="H834" s="1" t="s">
        <v>1685</v>
      </c>
      <c r="I834" s="1">
        <v>-3</v>
      </c>
      <c r="J834" s="2">
        <v>179</v>
      </c>
      <c r="K834" s="2">
        <v>179</v>
      </c>
      <c r="L834" s="2">
        <v>179</v>
      </c>
      <c r="M834" s="2">
        <v>179</v>
      </c>
      <c r="N834" s="1" t="s">
        <v>36</v>
      </c>
      <c r="O834" s="2">
        <v>1</v>
      </c>
      <c r="P834" s="3">
        <f t="shared" si="26"/>
        <v>134.25</v>
      </c>
      <c r="Q834" s="3" t="str">
        <f t="shared" si="27"/>
        <v>7832109179</v>
      </c>
    </row>
    <row r="835" spans="1:18" hidden="1">
      <c r="A835" t="s">
        <v>29</v>
      </c>
      <c r="B835" s="1" t="s">
        <v>1028</v>
      </c>
      <c r="C835" s="1" t="s">
        <v>69</v>
      </c>
      <c r="D835" s="1" t="s">
        <v>1694</v>
      </c>
      <c r="E835" s="1" t="s">
        <v>584</v>
      </c>
      <c r="F835" s="1" t="s">
        <v>585</v>
      </c>
      <c r="G835" s="1" t="s">
        <v>752</v>
      </c>
      <c r="H835" s="1" t="s">
        <v>1685</v>
      </c>
      <c r="I835" s="1">
        <v>-3</v>
      </c>
      <c r="J835" s="2">
        <v>179</v>
      </c>
      <c r="K835" s="2">
        <v>179</v>
      </c>
      <c r="L835" s="2">
        <v>179</v>
      </c>
      <c r="M835" s="2">
        <v>179</v>
      </c>
      <c r="N835" s="1" t="s">
        <v>36</v>
      </c>
      <c r="O835" s="2">
        <v>1</v>
      </c>
      <c r="P835" s="3">
        <f t="shared" si="26"/>
        <v>134.25</v>
      </c>
      <c r="Q835" s="3" t="str">
        <f t="shared" si="27"/>
        <v>7832215179</v>
      </c>
    </row>
    <row r="836" spans="1:18" hidden="1">
      <c r="A836" t="s">
        <v>29</v>
      </c>
      <c r="B836" s="1" t="s">
        <v>1028</v>
      </c>
      <c r="C836" s="1" t="s">
        <v>69</v>
      </c>
      <c r="D836" s="1" t="s">
        <v>1695</v>
      </c>
      <c r="E836" s="1" t="s">
        <v>584</v>
      </c>
      <c r="F836" s="1" t="s">
        <v>585</v>
      </c>
      <c r="G836" s="1" t="s">
        <v>752</v>
      </c>
      <c r="H836" s="1" t="s">
        <v>1685</v>
      </c>
      <c r="I836" s="1">
        <v>-3</v>
      </c>
      <c r="J836" s="2">
        <v>189.9</v>
      </c>
      <c r="K836" s="2">
        <v>189.9</v>
      </c>
      <c r="L836" s="2">
        <v>189.9</v>
      </c>
      <c r="M836" s="2">
        <v>189.9</v>
      </c>
      <c r="N836" s="1" t="s">
        <v>36</v>
      </c>
      <c r="O836" s="2">
        <v>1</v>
      </c>
      <c r="P836" s="3">
        <f t="shared" si="26"/>
        <v>142.42500000000001</v>
      </c>
      <c r="Q836" s="3" t="str">
        <f t="shared" si="27"/>
        <v>7836072189.9</v>
      </c>
    </row>
    <row r="837" spans="1:18" hidden="1">
      <c r="A837" t="s">
        <v>29</v>
      </c>
      <c r="B837" s="1" t="s">
        <v>1028</v>
      </c>
      <c r="C837" s="1" t="s">
        <v>69</v>
      </c>
      <c r="D837" s="1" t="s">
        <v>1696</v>
      </c>
      <c r="E837" s="1" t="s">
        <v>334</v>
      </c>
      <c r="F837" s="1" t="s">
        <v>335</v>
      </c>
      <c r="G837" s="1" t="s">
        <v>1697</v>
      </c>
      <c r="H837" s="1" t="s">
        <v>1685</v>
      </c>
      <c r="I837" s="1">
        <v>-3</v>
      </c>
      <c r="J837" s="2">
        <v>8202.7800000000007</v>
      </c>
      <c r="K837" s="2">
        <v>8202.7845018999997</v>
      </c>
      <c r="L837" s="2">
        <v>5949.85</v>
      </c>
      <c r="M837" s="2">
        <v>5949.85</v>
      </c>
      <c r="N837" s="1" t="s">
        <v>45</v>
      </c>
      <c r="O837" s="2">
        <v>1.378654</v>
      </c>
      <c r="P837" s="3">
        <f t="shared" si="26"/>
        <v>5949.85</v>
      </c>
      <c r="Q837" s="3" t="str">
        <f t="shared" si="27"/>
        <v>29085082965949.85</v>
      </c>
      <c r="R837" t="s">
        <v>91</v>
      </c>
    </row>
    <row r="838" spans="1:18" hidden="1">
      <c r="A838" t="s">
        <v>29</v>
      </c>
      <c r="B838" s="1" t="s">
        <v>1028</v>
      </c>
      <c r="C838" s="1" t="s">
        <v>69</v>
      </c>
      <c r="D838" s="1" t="s">
        <v>1698</v>
      </c>
      <c r="E838" s="1" t="s">
        <v>334</v>
      </c>
      <c r="F838" s="1" t="s">
        <v>335</v>
      </c>
      <c r="G838" s="1" t="s">
        <v>1699</v>
      </c>
      <c r="H838" s="1" t="s">
        <v>1685</v>
      </c>
      <c r="I838" s="1">
        <v>-3</v>
      </c>
      <c r="J838" s="2">
        <v>5077.17</v>
      </c>
      <c r="K838" s="2">
        <v>5077.1690858000002</v>
      </c>
      <c r="L838" s="2">
        <v>3682.7</v>
      </c>
      <c r="M838" s="2">
        <v>3682.7</v>
      </c>
      <c r="N838" s="1" t="s">
        <v>45</v>
      </c>
      <c r="O838" s="2">
        <v>1.378654</v>
      </c>
      <c r="P838" s="3">
        <f t="shared" si="26"/>
        <v>3682.7</v>
      </c>
      <c r="Q838" s="3" t="str">
        <f t="shared" si="27"/>
        <v>29085072943682.7</v>
      </c>
      <c r="R838" t="s">
        <v>91</v>
      </c>
    </row>
    <row r="839" spans="1:18" hidden="1">
      <c r="A839" t="s">
        <v>29</v>
      </c>
      <c r="B839" s="1" t="s">
        <v>1028</v>
      </c>
      <c r="C839" s="1" t="s">
        <v>69</v>
      </c>
      <c r="D839" s="1" t="s">
        <v>1700</v>
      </c>
      <c r="E839" s="1" t="s">
        <v>334</v>
      </c>
      <c r="F839" s="1" t="s">
        <v>335</v>
      </c>
      <c r="G839" s="1" t="s">
        <v>1701</v>
      </c>
      <c r="H839" s="1" t="s">
        <v>1685</v>
      </c>
      <c r="I839" s="1">
        <v>-3</v>
      </c>
      <c r="J839" s="2">
        <v>826.79</v>
      </c>
      <c r="K839" s="2">
        <v>826.79259033999995</v>
      </c>
      <c r="L839" s="2">
        <v>599.71</v>
      </c>
      <c r="M839" s="2">
        <v>599.71</v>
      </c>
      <c r="N839" s="1" t="s">
        <v>45</v>
      </c>
      <c r="O839" s="2">
        <v>1.378654</v>
      </c>
      <c r="P839" s="3">
        <f t="shared" si="26"/>
        <v>599.71</v>
      </c>
      <c r="Q839" s="3" t="str">
        <f t="shared" si="27"/>
        <v>2908507295599.71</v>
      </c>
      <c r="R839" t="s">
        <v>91</v>
      </c>
    </row>
    <row r="840" spans="1:18" hidden="1">
      <c r="A840" t="s">
        <v>29</v>
      </c>
      <c r="B840" s="1" t="s">
        <v>1028</v>
      </c>
      <c r="C840" s="1" t="s">
        <v>69</v>
      </c>
      <c r="D840" s="1" t="s">
        <v>1702</v>
      </c>
      <c r="E840" s="1" t="s">
        <v>334</v>
      </c>
      <c r="F840" s="1" t="s">
        <v>335</v>
      </c>
      <c r="G840" s="1" t="s">
        <v>1703</v>
      </c>
      <c r="H840" s="1" t="s">
        <v>1685</v>
      </c>
      <c r="I840" s="1">
        <v>-3</v>
      </c>
      <c r="J840" s="2">
        <v>96.7</v>
      </c>
      <c r="K840" s="2">
        <v>96.698791560000004</v>
      </c>
      <c r="L840" s="2">
        <v>70.14</v>
      </c>
      <c r="M840" s="2">
        <v>70.14</v>
      </c>
      <c r="N840" s="1" t="s">
        <v>45</v>
      </c>
      <c r="O840" s="2">
        <v>1.378654</v>
      </c>
      <c r="P840" s="3">
        <f t="shared" si="26"/>
        <v>70.14</v>
      </c>
      <c r="Q840" s="3" t="str">
        <f t="shared" si="27"/>
        <v>290850802470.14</v>
      </c>
      <c r="R840" t="s">
        <v>91</v>
      </c>
    </row>
    <row r="841" spans="1:18" hidden="1">
      <c r="A841" t="s">
        <v>29</v>
      </c>
      <c r="B841" s="1" t="s">
        <v>1028</v>
      </c>
      <c r="C841" s="1" t="s">
        <v>69</v>
      </c>
      <c r="D841" s="1" t="s">
        <v>1704</v>
      </c>
      <c r="E841" s="1" t="s">
        <v>334</v>
      </c>
      <c r="F841" s="1" t="s">
        <v>335</v>
      </c>
      <c r="G841" s="1" t="s">
        <v>1669</v>
      </c>
      <c r="H841" s="1" t="s">
        <v>1685</v>
      </c>
      <c r="I841" s="1">
        <v>-3</v>
      </c>
      <c r="J841" s="2">
        <v>737.32</v>
      </c>
      <c r="K841" s="2">
        <v>737.31794574000003</v>
      </c>
      <c r="L841" s="2">
        <v>534.80999999999995</v>
      </c>
      <c r="M841" s="2">
        <v>534.80999999999995</v>
      </c>
      <c r="N841" s="1" t="s">
        <v>45</v>
      </c>
      <c r="O841" s="2">
        <v>1.378654</v>
      </c>
      <c r="P841" s="3">
        <f t="shared" si="26"/>
        <v>534.80999999999995</v>
      </c>
      <c r="Q841" s="3" t="str">
        <f t="shared" si="27"/>
        <v>2908506419534.81</v>
      </c>
      <c r="R841" t="s">
        <v>91</v>
      </c>
    </row>
    <row r="842" spans="1:18" hidden="1">
      <c r="A842" t="s">
        <v>29</v>
      </c>
      <c r="B842" s="1" t="s">
        <v>1028</v>
      </c>
      <c r="C842" s="1" t="s">
        <v>69</v>
      </c>
      <c r="D842" s="1" t="s">
        <v>1705</v>
      </c>
      <c r="E842" s="1" t="s">
        <v>334</v>
      </c>
      <c r="F842" s="1" t="s">
        <v>335</v>
      </c>
      <c r="G842" s="1" t="s">
        <v>1701</v>
      </c>
      <c r="H842" s="1" t="s">
        <v>1685</v>
      </c>
      <c r="I842" s="1">
        <v>-3</v>
      </c>
      <c r="J842" s="2">
        <v>1293.01</v>
      </c>
      <c r="K842" s="2">
        <v>1293.01201352</v>
      </c>
      <c r="L842" s="2">
        <v>937.88</v>
      </c>
      <c r="M842" s="2">
        <v>937.88</v>
      </c>
      <c r="N842" s="1" t="s">
        <v>45</v>
      </c>
      <c r="O842" s="2">
        <v>1.378654</v>
      </c>
      <c r="P842" s="3">
        <f t="shared" si="26"/>
        <v>937.88</v>
      </c>
      <c r="Q842" s="3" t="str">
        <f t="shared" si="27"/>
        <v>2908506424937.88</v>
      </c>
      <c r="R842" t="s">
        <v>91</v>
      </c>
    </row>
    <row r="843" spans="1:18" hidden="1">
      <c r="A843" t="s">
        <v>29</v>
      </c>
      <c r="B843" s="1" t="s">
        <v>1028</v>
      </c>
      <c r="C843" s="1" t="s">
        <v>69</v>
      </c>
      <c r="D843" s="1" t="s">
        <v>1706</v>
      </c>
      <c r="E843" s="1" t="s">
        <v>334</v>
      </c>
      <c r="F843" s="1" t="s">
        <v>335</v>
      </c>
      <c r="G843" s="1" t="s">
        <v>1677</v>
      </c>
      <c r="H843" s="1" t="s">
        <v>1685</v>
      </c>
      <c r="I843" s="1">
        <v>-3</v>
      </c>
      <c r="J843" s="2">
        <v>2285.46</v>
      </c>
      <c r="K843" s="2">
        <v>2285.4636685</v>
      </c>
      <c r="L843" s="2">
        <v>1657.75</v>
      </c>
      <c r="M843" s="2">
        <v>1657.75</v>
      </c>
      <c r="N843" s="1" t="s">
        <v>45</v>
      </c>
      <c r="O843" s="2">
        <v>1.378654</v>
      </c>
      <c r="P843" s="3">
        <f t="shared" si="26"/>
        <v>1657.75</v>
      </c>
      <c r="Q843" s="3" t="str">
        <f t="shared" si="27"/>
        <v>29085065351657.75</v>
      </c>
      <c r="R843" t="s">
        <v>91</v>
      </c>
    </row>
    <row r="844" spans="1:18" hidden="1">
      <c r="A844" t="s">
        <v>29</v>
      </c>
      <c r="B844" s="1" t="s">
        <v>1028</v>
      </c>
      <c r="C844" s="1" t="s">
        <v>69</v>
      </c>
      <c r="D844" s="1" t="s">
        <v>1707</v>
      </c>
      <c r="E844" s="1" t="s">
        <v>471</v>
      </c>
      <c r="F844" s="1" t="s">
        <v>472</v>
      </c>
      <c r="G844" s="1" t="s">
        <v>1708</v>
      </c>
      <c r="H844" s="1" t="s">
        <v>1685</v>
      </c>
      <c r="I844" s="1">
        <v>-3</v>
      </c>
      <c r="J844" s="2">
        <v>53021.18</v>
      </c>
      <c r="K844" s="2">
        <v>53021.18</v>
      </c>
      <c r="L844" s="2">
        <v>53021.18</v>
      </c>
      <c r="M844" s="2">
        <v>53021.18</v>
      </c>
      <c r="N844" s="1" t="s">
        <v>36</v>
      </c>
      <c r="O844" s="2">
        <v>1</v>
      </c>
      <c r="P844" s="3">
        <f t="shared" si="26"/>
        <v>39765.885000000002</v>
      </c>
      <c r="Q844" s="3" t="str">
        <f t="shared" si="27"/>
        <v>D5449853021.18</v>
      </c>
      <c r="R844" t="s">
        <v>202</v>
      </c>
    </row>
    <row r="845" spans="1:18" hidden="1">
      <c r="A845" t="s">
        <v>29</v>
      </c>
      <c r="B845" s="1" t="s">
        <v>1369</v>
      </c>
      <c r="C845" s="1" t="s">
        <v>69</v>
      </c>
      <c r="D845" s="1" t="s">
        <v>1709</v>
      </c>
      <c r="E845" s="1" t="s">
        <v>156</v>
      </c>
      <c r="F845" s="1" t="s">
        <v>156</v>
      </c>
      <c r="G845" s="1" t="s">
        <v>1525</v>
      </c>
      <c r="H845" s="1" t="s">
        <v>1685</v>
      </c>
      <c r="I845" s="1">
        <v>-3</v>
      </c>
      <c r="J845" s="2">
        <v>1490.87</v>
      </c>
      <c r="K845" s="2">
        <v>1490.87</v>
      </c>
      <c r="L845" s="2">
        <v>1490.87</v>
      </c>
      <c r="M845" s="2">
        <v>1490.87</v>
      </c>
      <c r="N845" s="1" t="s">
        <v>36</v>
      </c>
      <c r="O845" s="2">
        <v>1</v>
      </c>
      <c r="P845" s="3">
        <f t="shared" si="26"/>
        <v>1118.1524999999999</v>
      </c>
      <c r="Q845" s="3" t="str">
        <f t="shared" si="27"/>
        <v>2-706-646531490.87</v>
      </c>
    </row>
    <row r="846" spans="1:18" hidden="1">
      <c r="A846" t="s">
        <v>29</v>
      </c>
      <c r="B846" s="1" t="s">
        <v>1055</v>
      </c>
      <c r="C846" s="1" t="s">
        <v>69</v>
      </c>
      <c r="D846" s="1" t="s">
        <v>1710</v>
      </c>
      <c r="E846" s="1" t="s">
        <v>221</v>
      </c>
      <c r="F846" s="1" t="s">
        <v>222</v>
      </c>
      <c r="G846" s="1" t="s">
        <v>1711</v>
      </c>
      <c r="H846" s="1" t="s">
        <v>1712</v>
      </c>
      <c r="I846" s="1">
        <v>-4</v>
      </c>
      <c r="J846" s="2">
        <v>372.16</v>
      </c>
      <c r="K846" s="2">
        <v>372.15962999999999</v>
      </c>
      <c r="L846" s="2">
        <v>270</v>
      </c>
      <c r="M846" s="2">
        <v>270</v>
      </c>
      <c r="N846" s="1" t="s">
        <v>45</v>
      </c>
      <c r="O846" s="2">
        <v>1.378369</v>
      </c>
      <c r="P846" s="3">
        <f t="shared" si="26"/>
        <v>270</v>
      </c>
      <c r="Q846" s="3" t="str">
        <f t="shared" si="27"/>
        <v>FGL0005527270</v>
      </c>
    </row>
    <row r="847" spans="1:18" hidden="1">
      <c r="A847" t="s">
        <v>29</v>
      </c>
      <c r="B847" s="1" t="s">
        <v>1055</v>
      </c>
      <c r="C847" s="1" t="s">
        <v>69</v>
      </c>
      <c r="D847" s="1" t="s">
        <v>1713</v>
      </c>
      <c r="E847" s="1" t="s">
        <v>616</v>
      </c>
      <c r="F847" s="1" t="s">
        <v>222</v>
      </c>
      <c r="G847" s="1" t="s">
        <v>1714</v>
      </c>
      <c r="H847" s="1" t="s">
        <v>1712</v>
      </c>
      <c r="I847" s="1">
        <v>-4</v>
      </c>
      <c r="J847" s="2">
        <v>1570</v>
      </c>
      <c r="K847" s="2">
        <v>1570</v>
      </c>
      <c r="L847" s="2">
        <v>1570</v>
      </c>
      <c r="M847" s="2">
        <v>1570</v>
      </c>
      <c r="N847" s="1" t="s">
        <v>36</v>
      </c>
      <c r="O847" s="2">
        <v>1</v>
      </c>
      <c r="P847" s="3">
        <f t="shared" si="26"/>
        <v>1177.5</v>
      </c>
      <c r="Q847" s="3" t="str">
        <f t="shared" si="27"/>
        <v>FGL00055261570</v>
      </c>
    </row>
    <row r="848" spans="1:18" hidden="1">
      <c r="A848" t="s">
        <v>29</v>
      </c>
      <c r="B848" s="1" t="s">
        <v>1055</v>
      </c>
      <c r="C848" s="1" t="s">
        <v>69</v>
      </c>
      <c r="D848" s="1" t="s">
        <v>1715</v>
      </c>
      <c r="E848" s="1" t="s">
        <v>239</v>
      </c>
      <c r="F848" s="1" t="s">
        <v>240</v>
      </c>
      <c r="G848" s="1" t="s">
        <v>1716</v>
      </c>
      <c r="H848" s="1" t="s">
        <v>1712</v>
      </c>
      <c r="I848" s="1">
        <v>-4</v>
      </c>
      <c r="J848" s="2">
        <v>207985.01</v>
      </c>
      <c r="K848" s="2">
        <v>207985.00676859001</v>
      </c>
      <c r="L848" s="2">
        <v>150892.10999999999</v>
      </c>
      <c r="M848" s="2">
        <v>150892.10999999999</v>
      </c>
      <c r="N848" s="1" t="s">
        <v>45</v>
      </c>
      <c r="O848" s="2">
        <v>1.378369</v>
      </c>
      <c r="P848" s="3">
        <f t="shared" si="26"/>
        <v>150892.10999999999</v>
      </c>
      <c r="Q848" s="3" t="str">
        <f t="shared" si="27"/>
        <v>9116924376150892.11</v>
      </c>
      <c r="R848" t="s">
        <v>59</v>
      </c>
    </row>
    <row r="849" spans="1:18" hidden="1">
      <c r="A849" t="s">
        <v>29</v>
      </c>
      <c r="B849" s="1" t="s">
        <v>1055</v>
      </c>
      <c r="C849" s="1" t="s">
        <v>69</v>
      </c>
      <c r="D849" s="1" t="s">
        <v>1717</v>
      </c>
      <c r="E849" s="1" t="s">
        <v>334</v>
      </c>
      <c r="F849" s="1" t="s">
        <v>335</v>
      </c>
      <c r="G849" s="1" t="s">
        <v>1701</v>
      </c>
      <c r="H849" s="1" t="s">
        <v>1712</v>
      </c>
      <c r="I849" s="1">
        <v>-4</v>
      </c>
      <c r="J849" s="2">
        <v>824.54</v>
      </c>
      <c r="K849" s="2">
        <v>824.54033579999998</v>
      </c>
      <c r="L849" s="2">
        <v>598.20000000000005</v>
      </c>
      <c r="M849" s="2">
        <v>598.20000000000005</v>
      </c>
      <c r="N849" s="1" t="s">
        <v>45</v>
      </c>
      <c r="O849" s="2">
        <v>1.378369</v>
      </c>
      <c r="P849" s="3">
        <f t="shared" si="26"/>
        <v>598.20000000000005</v>
      </c>
      <c r="Q849" s="3" t="str">
        <f t="shared" si="27"/>
        <v>2908508922598.2</v>
      </c>
      <c r="R849" t="s">
        <v>91</v>
      </c>
    </row>
    <row r="850" spans="1:18" hidden="1">
      <c r="A850" t="s">
        <v>29</v>
      </c>
      <c r="B850" s="1" t="s">
        <v>1055</v>
      </c>
      <c r="C850" s="1" t="s">
        <v>69</v>
      </c>
      <c r="D850" s="1" t="s">
        <v>1718</v>
      </c>
      <c r="E850" s="1" t="s">
        <v>334</v>
      </c>
      <c r="F850" s="1" t="s">
        <v>335</v>
      </c>
      <c r="G850" s="1" t="s">
        <v>1719</v>
      </c>
      <c r="H850" s="1" t="s">
        <v>1712</v>
      </c>
      <c r="I850" s="1">
        <v>-4</v>
      </c>
      <c r="J850" s="2">
        <v>15058.06</v>
      </c>
      <c r="K850" s="2">
        <v>15058.061058949999</v>
      </c>
      <c r="L850" s="2">
        <v>10924.55</v>
      </c>
      <c r="M850" s="2">
        <v>10924.55</v>
      </c>
      <c r="N850" s="1" t="s">
        <v>45</v>
      </c>
      <c r="O850" s="2">
        <v>1.378369</v>
      </c>
      <c r="P850" s="3">
        <f t="shared" si="26"/>
        <v>10924.55</v>
      </c>
      <c r="Q850" s="3" t="str">
        <f t="shared" si="27"/>
        <v>290850892310924.55</v>
      </c>
      <c r="R850" t="s">
        <v>91</v>
      </c>
    </row>
    <row r="851" spans="1:18" hidden="1">
      <c r="A851" t="s">
        <v>29</v>
      </c>
      <c r="B851" s="1" t="s">
        <v>1055</v>
      </c>
      <c r="C851" s="1" t="s">
        <v>69</v>
      </c>
      <c r="D851" s="1" t="s">
        <v>1720</v>
      </c>
      <c r="E851" s="1" t="s">
        <v>334</v>
      </c>
      <c r="F851" s="1" t="s">
        <v>335</v>
      </c>
      <c r="G851" s="1" t="s">
        <v>1677</v>
      </c>
      <c r="H851" s="1" t="s">
        <v>1712</v>
      </c>
      <c r="I851" s="1">
        <v>-4</v>
      </c>
      <c r="J851" s="2">
        <v>1919.39</v>
      </c>
      <c r="K851" s="2">
        <v>1919.3926161899999</v>
      </c>
      <c r="L851" s="2">
        <v>1392.51</v>
      </c>
      <c r="M851" s="2">
        <v>1392.51</v>
      </c>
      <c r="N851" s="1" t="s">
        <v>45</v>
      </c>
      <c r="O851" s="2">
        <v>1.378369</v>
      </c>
      <c r="P851" s="3">
        <f t="shared" si="26"/>
        <v>1392.51</v>
      </c>
      <c r="Q851" s="3" t="str">
        <f t="shared" si="27"/>
        <v>29085089961392.51</v>
      </c>
      <c r="R851" t="s">
        <v>91</v>
      </c>
    </row>
    <row r="852" spans="1:18" hidden="1">
      <c r="A852" t="s">
        <v>29</v>
      </c>
      <c r="B852" s="1" t="s">
        <v>1055</v>
      </c>
      <c r="C852" s="1" t="s">
        <v>69</v>
      </c>
      <c r="D852" s="1" t="s">
        <v>1721</v>
      </c>
      <c r="E852" s="1" t="s">
        <v>334</v>
      </c>
      <c r="F852" s="1" t="s">
        <v>335</v>
      </c>
      <c r="G852" s="1" t="s">
        <v>1677</v>
      </c>
      <c r="H852" s="1" t="s">
        <v>1712</v>
      </c>
      <c r="I852" s="1">
        <v>-4</v>
      </c>
      <c r="J852" s="2">
        <v>4204.38</v>
      </c>
      <c r="K852" s="2">
        <v>4204.38382594</v>
      </c>
      <c r="L852" s="2">
        <v>3050.26</v>
      </c>
      <c r="M852" s="2">
        <v>3050.26</v>
      </c>
      <c r="N852" s="1" t="s">
        <v>45</v>
      </c>
      <c r="O852" s="2">
        <v>1.378369</v>
      </c>
      <c r="P852" s="3">
        <f t="shared" si="26"/>
        <v>3050.26</v>
      </c>
      <c r="Q852" s="3" t="str">
        <f t="shared" si="27"/>
        <v>29085103393050.26</v>
      </c>
      <c r="R852" t="s">
        <v>91</v>
      </c>
    </row>
    <row r="853" spans="1:18" hidden="1">
      <c r="A853" t="s">
        <v>29</v>
      </c>
      <c r="B853" s="1" t="s">
        <v>1055</v>
      </c>
      <c r="C853" s="1" t="s">
        <v>69</v>
      </c>
      <c r="D853" s="1" t="s">
        <v>1722</v>
      </c>
      <c r="E853" s="1" t="s">
        <v>334</v>
      </c>
      <c r="F853" s="1" t="s">
        <v>335</v>
      </c>
      <c r="G853" s="1" t="s">
        <v>655</v>
      </c>
      <c r="H853" s="1" t="s">
        <v>1712</v>
      </c>
      <c r="I853" s="1">
        <v>-4</v>
      </c>
      <c r="J853" s="2">
        <v>26464.68</v>
      </c>
      <c r="K853" s="2">
        <v>26464.684799999999</v>
      </c>
      <c r="L853" s="2">
        <v>19200</v>
      </c>
      <c r="M853" s="2">
        <v>19200</v>
      </c>
      <c r="N853" s="1" t="s">
        <v>45</v>
      </c>
      <c r="O853" s="2">
        <v>1.378369</v>
      </c>
      <c r="P853" s="3">
        <f t="shared" si="26"/>
        <v>19200</v>
      </c>
      <c r="Q853" s="3" t="str">
        <f t="shared" si="27"/>
        <v>190980700119200</v>
      </c>
      <c r="R853" t="s">
        <v>91</v>
      </c>
    </row>
    <row r="854" spans="1:18" hidden="1">
      <c r="A854" t="s">
        <v>29</v>
      </c>
      <c r="B854" s="1" t="s">
        <v>1055</v>
      </c>
      <c r="C854" s="1" t="s">
        <v>69</v>
      </c>
      <c r="D854" s="1" t="s">
        <v>1723</v>
      </c>
      <c r="E854" s="1" t="s">
        <v>580</v>
      </c>
      <c r="F854" s="1"/>
      <c r="G854" s="1" t="s">
        <v>1724</v>
      </c>
      <c r="H854" s="1" t="s">
        <v>1712</v>
      </c>
      <c r="I854" s="1">
        <v>-4</v>
      </c>
      <c r="J854" s="2">
        <v>2307.44</v>
      </c>
      <c r="K854" s="2">
        <v>2307.4448407599998</v>
      </c>
      <c r="L854" s="2">
        <v>1674.04</v>
      </c>
      <c r="M854" s="2">
        <v>1674.04</v>
      </c>
      <c r="N854" s="1" t="s">
        <v>45</v>
      </c>
      <c r="O854" s="2">
        <v>1.378369</v>
      </c>
      <c r="P854" s="3">
        <f t="shared" si="26"/>
        <v>1674.04</v>
      </c>
      <c r="Q854" s="3" t="str">
        <f t="shared" si="27"/>
        <v>1318301674.04</v>
      </c>
    </row>
    <row r="855" spans="1:18" hidden="1">
      <c r="A855" t="s">
        <v>29</v>
      </c>
      <c r="B855" s="1" t="s">
        <v>761</v>
      </c>
      <c r="C855" s="1" t="s">
        <v>69</v>
      </c>
      <c r="D855" s="1" t="s">
        <v>1725</v>
      </c>
      <c r="E855" s="1" t="s">
        <v>488</v>
      </c>
      <c r="F855" s="1" t="s">
        <v>346</v>
      </c>
      <c r="G855" s="1" t="s">
        <v>1726</v>
      </c>
      <c r="H855" s="1" t="s">
        <v>1727</v>
      </c>
      <c r="I855" s="1">
        <v>-5</v>
      </c>
      <c r="J855" s="2">
        <v>35368.74</v>
      </c>
      <c r="K855" s="2">
        <v>35368.743168000001</v>
      </c>
      <c r="L855" s="2">
        <v>25344</v>
      </c>
      <c r="M855" s="2">
        <v>25344</v>
      </c>
      <c r="N855" s="1" t="s">
        <v>45</v>
      </c>
      <c r="O855" s="2">
        <v>1.3955470000000001</v>
      </c>
      <c r="P855" s="3">
        <f t="shared" si="26"/>
        <v>25344</v>
      </c>
      <c r="Q855" s="3" t="str">
        <f t="shared" si="27"/>
        <v>8881025344</v>
      </c>
      <c r="R855" t="s">
        <v>202</v>
      </c>
    </row>
    <row r="856" spans="1:18" hidden="1">
      <c r="A856" t="s">
        <v>29</v>
      </c>
      <c r="B856" s="1" t="s">
        <v>1055</v>
      </c>
      <c r="C856" s="1" t="s">
        <v>69</v>
      </c>
      <c r="D856" s="1" t="s">
        <v>1728</v>
      </c>
      <c r="E856" s="1" t="s">
        <v>88</v>
      </c>
      <c r="F856" s="1" t="s">
        <v>89</v>
      </c>
      <c r="G856" s="1" t="s">
        <v>1729</v>
      </c>
      <c r="H856" s="1" t="s">
        <v>1727</v>
      </c>
      <c r="I856" s="1">
        <v>-5</v>
      </c>
      <c r="J856" s="2">
        <v>11371.54</v>
      </c>
      <c r="K856" s="2">
        <v>11371.544250000001</v>
      </c>
      <c r="L856" s="2">
        <v>8250</v>
      </c>
      <c r="M856" s="2">
        <v>8250</v>
      </c>
      <c r="N856" s="1" t="s">
        <v>45</v>
      </c>
      <c r="O856" s="2">
        <v>1.378369</v>
      </c>
      <c r="P856" s="3">
        <f t="shared" si="26"/>
        <v>8250</v>
      </c>
      <c r="Q856" s="3" t="str">
        <f t="shared" si="27"/>
        <v>101178250</v>
      </c>
      <c r="R856" t="s">
        <v>1459</v>
      </c>
    </row>
    <row r="857" spans="1:18" hidden="1">
      <c r="A857" t="s">
        <v>29</v>
      </c>
      <c r="B857" s="1" t="s">
        <v>1072</v>
      </c>
      <c r="C857" s="1" t="s">
        <v>69</v>
      </c>
      <c r="D857" s="1" t="s">
        <v>1730</v>
      </c>
      <c r="E857" s="1" t="s">
        <v>584</v>
      </c>
      <c r="F857" s="1" t="s">
        <v>585</v>
      </c>
      <c r="G857" s="1" t="s">
        <v>752</v>
      </c>
      <c r="H857" s="1" t="s">
        <v>1727</v>
      </c>
      <c r="I857" s="1">
        <v>-5</v>
      </c>
      <c r="J857" s="2">
        <v>97.41</v>
      </c>
      <c r="K857" s="2">
        <v>97.41</v>
      </c>
      <c r="L857" s="2">
        <v>97.41</v>
      </c>
      <c r="M857" s="2">
        <v>97.41</v>
      </c>
      <c r="N857" s="1" t="s">
        <v>36</v>
      </c>
      <c r="O857" s="2">
        <v>1</v>
      </c>
      <c r="P857" s="3">
        <f t="shared" si="26"/>
        <v>73.057500000000005</v>
      </c>
      <c r="Q857" s="3" t="str">
        <f t="shared" si="27"/>
        <v>784163597.41</v>
      </c>
    </row>
    <row r="858" spans="1:18" hidden="1">
      <c r="A858" t="s">
        <v>29</v>
      </c>
      <c r="B858" s="1" t="s">
        <v>1072</v>
      </c>
      <c r="C858" s="1" t="s">
        <v>69</v>
      </c>
      <c r="D858" s="1" t="s">
        <v>1731</v>
      </c>
      <c r="E858" s="1" t="s">
        <v>584</v>
      </c>
      <c r="F858" s="1" t="s">
        <v>585</v>
      </c>
      <c r="G858" s="1" t="s">
        <v>752</v>
      </c>
      <c r="H858" s="1" t="s">
        <v>1727</v>
      </c>
      <c r="I858" s="1">
        <v>-5</v>
      </c>
      <c r="J858" s="2">
        <v>215.16</v>
      </c>
      <c r="K858" s="2">
        <v>215.16</v>
      </c>
      <c r="L858" s="2">
        <v>215.16</v>
      </c>
      <c r="M858" s="2">
        <v>215.16</v>
      </c>
      <c r="N858" s="1" t="s">
        <v>36</v>
      </c>
      <c r="O858" s="2">
        <v>1</v>
      </c>
      <c r="P858" s="3">
        <f t="shared" si="26"/>
        <v>161.37</v>
      </c>
      <c r="Q858" s="3" t="str">
        <f t="shared" si="27"/>
        <v>7842104215.16</v>
      </c>
    </row>
    <row r="859" spans="1:18" hidden="1">
      <c r="A859" t="s">
        <v>29</v>
      </c>
      <c r="B859" s="1" t="s">
        <v>1072</v>
      </c>
      <c r="C859" s="1" t="s">
        <v>69</v>
      </c>
      <c r="D859" s="1" t="s">
        <v>1732</v>
      </c>
      <c r="E859" s="1" t="s">
        <v>239</v>
      </c>
      <c r="F859" s="1" t="s">
        <v>240</v>
      </c>
      <c r="G859" s="1" t="s">
        <v>1733</v>
      </c>
      <c r="H859" s="1" t="s">
        <v>1727</v>
      </c>
      <c r="I859" s="1">
        <v>-5</v>
      </c>
      <c r="J859" s="2">
        <v>60713.14</v>
      </c>
      <c r="K859" s="2">
        <v>60713.138555999998</v>
      </c>
      <c r="L859" s="2">
        <v>44015.76</v>
      </c>
      <c r="M859" s="2">
        <v>44015.76</v>
      </c>
      <c r="N859" s="1" t="s">
        <v>45</v>
      </c>
      <c r="O859" s="2">
        <v>1.3793500000000001</v>
      </c>
      <c r="P859" s="3">
        <f t="shared" si="26"/>
        <v>44015.76</v>
      </c>
      <c r="Q859" s="3" t="str">
        <f t="shared" si="27"/>
        <v>911693317344015.76</v>
      </c>
      <c r="R859" t="s">
        <v>59</v>
      </c>
    </row>
    <row r="860" spans="1:18" hidden="1">
      <c r="A860" t="s">
        <v>29</v>
      </c>
      <c r="B860" s="1" t="s">
        <v>1072</v>
      </c>
      <c r="C860" s="1" t="s">
        <v>69</v>
      </c>
      <c r="D860" s="1" t="s">
        <v>1734</v>
      </c>
      <c r="E860" s="1" t="s">
        <v>239</v>
      </c>
      <c r="F860" s="1" t="s">
        <v>240</v>
      </c>
      <c r="G860" s="1" t="s">
        <v>1735</v>
      </c>
      <c r="H860" s="1" t="s">
        <v>1727</v>
      </c>
      <c r="I860" s="1">
        <v>-5</v>
      </c>
      <c r="J860" s="2">
        <v>59569.7</v>
      </c>
      <c r="K860" s="2">
        <v>59569.698786499997</v>
      </c>
      <c r="L860" s="2">
        <v>43186.79</v>
      </c>
      <c r="M860" s="2">
        <v>43186.79</v>
      </c>
      <c r="N860" s="1" t="s">
        <v>45</v>
      </c>
      <c r="O860" s="2">
        <v>1.3793500000000001</v>
      </c>
      <c r="P860" s="3">
        <f t="shared" si="26"/>
        <v>43186.79</v>
      </c>
      <c r="Q860" s="3" t="str">
        <f t="shared" si="27"/>
        <v>911693317443186.79</v>
      </c>
      <c r="R860" t="s">
        <v>59</v>
      </c>
    </row>
    <row r="861" spans="1:18" hidden="1">
      <c r="A861" t="s">
        <v>29</v>
      </c>
      <c r="B861" s="1" t="s">
        <v>1072</v>
      </c>
      <c r="C861" s="1" t="s">
        <v>69</v>
      </c>
      <c r="D861" s="1" t="s">
        <v>1736</v>
      </c>
      <c r="E861" s="1" t="s">
        <v>239</v>
      </c>
      <c r="F861" s="1" t="s">
        <v>240</v>
      </c>
      <c r="G861" s="1" t="s">
        <v>1735</v>
      </c>
      <c r="H861" s="1" t="s">
        <v>1727</v>
      </c>
      <c r="I861" s="1">
        <v>-5</v>
      </c>
      <c r="J861" s="2">
        <v>31341.78</v>
      </c>
      <c r="K861" s="2">
        <v>31341.783809</v>
      </c>
      <c r="L861" s="2">
        <v>22722.14</v>
      </c>
      <c r="M861" s="2">
        <v>22722.14</v>
      </c>
      <c r="N861" s="1" t="s">
        <v>45</v>
      </c>
      <c r="O861" s="2">
        <v>1.3793500000000001</v>
      </c>
      <c r="P861" s="3">
        <f t="shared" si="26"/>
        <v>22722.14</v>
      </c>
      <c r="Q861" s="3" t="str">
        <f t="shared" si="27"/>
        <v>911693317522722.14</v>
      </c>
      <c r="R861" t="s">
        <v>59</v>
      </c>
    </row>
    <row r="862" spans="1:18" hidden="1">
      <c r="A862" t="s">
        <v>29</v>
      </c>
      <c r="B862" s="1" t="s">
        <v>1072</v>
      </c>
      <c r="C862" s="1" t="s">
        <v>69</v>
      </c>
      <c r="D862" s="1" t="s">
        <v>1737</v>
      </c>
      <c r="E862" s="1" t="s">
        <v>239</v>
      </c>
      <c r="F862" s="1" t="s">
        <v>240</v>
      </c>
      <c r="G862" s="1" t="s">
        <v>1735</v>
      </c>
      <c r="H862" s="1" t="s">
        <v>1727</v>
      </c>
      <c r="I862" s="1">
        <v>-5</v>
      </c>
      <c r="J862" s="2">
        <v>108308.55</v>
      </c>
      <c r="K862" s="2">
        <v>108308.548264</v>
      </c>
      <c r="L862" s="2">
        <v>78521.440000000002</v>
      </c>
      <c r="M862" s="2">
        <v>78521.440000000002</v>
      </c>
      <c r="N862" s="1" t="s">
        <v>45</v>
      </c>
      <c r="O862" s="2">
        <v>1.3793500000000001</v>
      </c>
      <c r="P862" s="3">
        <f t="shared" si="26"/>
        <v>78521.440000000002</v>
      </c>
      <c r="Q862" s="3" t="str">
        <f t="shared" si="27"/>
        <v>911693317678521.44</v>
      </c>
      <c r="R862" t="s">
        <v>59</v>
      </c>
    </row>
    <row r="863" spans="1:18" hidden="1">
      <c r="A863" t="s">
        <v>29</v>
      </c>
      <c r="B863" s="1" t="s">
        <v>1072</v>
      </c>
      <c r="C863" s="1" t="s">
        <v>69</v>
      </c>
      <c r="D863" s="1" t="s">
        <v>1738</v>
      </c>
      <c r="E863" s="1" t="s">
        <v>239</v>
      </c>
      <c r="F863" s="1" t="s">
        <v>240</v>
      </c>
      <c r="G863" s="1" t="s">
        <v>1739</v>
      </c>
      <c r="H863" s="1" t="s">
        <v>1727</v>
      </c>
      <c r="I863" s="1">
        <v>-5</v>
      </c>
      <c r="J863" s="2">
        <v>50983.33</v>
      </c>
      <c r="K863" s="2">
        <v>50983.327797500002</v>
      </c>
      <c r="L863" s="2">
        <v>36961.85</v>
      </c>
      <c r="M863" s="2">
        <v>36961.85</v>
      </c>
      <c r="N863" s="1" t="s">
        <v>45</v>
      </c>
      <c r="O863" s="2">
        <v>1.3793500000000001</v>
      </c>
      <c r="P863" s="3">
        <f t="shared" si="26"/>
        <v>36961.85</v>
      </c>
      <c r="Q863" s="3" t="str">
        <f t="shared" si="27"/>
        <v>911693317736961.85</v>
      </c>
      <c r="R863" t="s">
        <v>59</v>
      </c>
    </row>
    <row r="864" spans="1:18" hidden="1">
      <c r="A864" t="s">
        <v>29</v>
      </c>
      <c r="B864" s="1" t="s">
        <v>1072</v>
      </c>
      <c r="C864" s="1" t="s">
        <v>69</v>
      </c>
      <c r="D864" s="1" t="s">
        <v>1740</v>
      </c>
      <c r="E864" s="1" t="s">
        <v>239</v>
      </c>
      <c r="F864" s="1" t="s">
        <v>240</v>
      </c>
      <c r="G864" s="1" t="s">
        <v>1739</v>
      </c>
      <c r="H864" s="1" t="s">
        <v>1727</v>
      </c>
      <c r="I864" s="1">
        <v>-5</v>
      </c>
      <c r="J864" s="2">
        <v>45318.52</v>
      </c>
      <c r="K864" s="2">
        <v>45318.516663000002</v>
      </c>
      <c r="L864" s="2">
        <v>32854.980000000003</v>
      </c>
      <c r="M864" s="2">
        <v>32854.980000000003</v>
      </c>
      <c r="N864" s="1" t="s">
        <v>45</v>
      </c>
      <c r="O864" s="2">
        <v>1.3793500000000001</v>
      </c>
      <c r="P864" s="3">
        <f t="shared" si="26"/>
        <v>32854.980000000003</v>
      </c>
      <c r="Q864" s="3" t="str">
        <f t="shared" si="27"/>
        <v>911693317832854.98</v>
      </c>
      <c r="R864" t="s">
        <v>59</v>
      </c>
    </row>
    <row r="865" spans="1:18" hidden="1">
      <c r="A865" t="s">
        <v>29</v>
      </c>
      <c r="B865" s="1" t="s">
        <v>1072</v>
      </c>
      <c r="C865" s="1" t="s">
        <v>69</v>
      </c>
      <c r="D865" s="1" t="s">
        <v>1741</v>
      </c>
      <c r="E865" s="1" t="s">
        <v>239</v>
      </c>
      <c r="F865" s="1" t="s">
        <v>240</v>
      </c>
      <c r="G865" s="1" t="s">
        <v>1739</v>
      </c>
      <c r="H865" s="1" t="s">
        <v>1727</v>
      </c>
      <c r="I865" s="1">
        <v>-5</v>
      </c>
      <c r="J865" s="2">
        <v>107631.47</v>
      </c>
      <c r="K865" s="2">
        <v>107631.4667295</v>
      </c>
      <c r="L865" s="2">
        <v>78030.570000000007</v>
      </c>
      <c r="M865" s="2">
        <v>78030.570000000007</v>
      </c>
      <c r="N865" s="1" t="s">
        <v>45</v>
      </c>
      <c r="O865" s="2">
        <v>1.3793500000000001</v>
      </c>
      <c r="P865" s="3">
        <f t="shared" si="26"/>
        <v>78030.570000000007</v>
      </c>
      <c r="Q865" s="3" t="str">
        <f t="shared" si="27"/>
        <v>911693317978030.57</v>
      </c>
      <c r="R865" t="s">
        <v>59</v>
      </c>
    </row>
    <row r="866" spans="1:18" hidden="1">
      <c r="A866" t="s">
        <v>29</v>
      </c>
      <c r="B866" s="1" t="s">
        <v>1072</v>
      </c>
      <c r="C866" s="1" t="s">
        <v>69</v>
      </c>
      <c r="D866" s="1" t="s">
        <v>1742</v>
      </c>
      <c r="E866" s="1" t="s">
        <v>239</v>
      </c>
      <c r="F866" s="1" t="s">
        <v>240</v>
      </c>
      <c r="G866" s="1" t="s">
        <v>1739</v>
      </c>
      <c r="H866" s="1" t="s">
        <v>1727</v>
      </c>
      <c r="I866" s="1">
        <v>-5</v>
      </c>
      <c r="J866" s="2">
        <v>113296.28</v>
      </c>
      <c r="K866" s="2">
        <v>113296.277864</v>
      </c>
      <c r="L866" s="2">
        <v>82137.440000000002</v>
      </c>
      <c r="M866" s="2">
        <v>82137.440000000002</v>
      </c>
      <c r="N866" s="1" t="s">
        <v>45</v>
      </c>
      <c r="O866" s="2">
        <v>1.3793500000000001</v>
      </c>
      <c r="P866" s="3">
        <f t="shared" si="26"/>
        <v>82137.440000000002</v>
      </c>
      <c r="Q866" s="3" t="str">
        <f t="shared" si="27"/>
        <v>911693318082137.44</v>
      </c>
      <c r="R866" t="s">
        <v>59</v>
      </c>
    </row>
    <row r="867" spans="1:18" hidden="1">
      <c r="A867" t="s">
        <v>29</v>
      </c>
      <c r="B867" s="1" t="s">
        <v>1072</v>
      </c>
      <c r="C867" s="1" t="s">
        <v>69</v>
      </c>
      <c r="D867" s="1" t="s">
        <v>1743</v>
      </c>
      <c r="E867" s="1" t="s">
        <v>616</v>
      </c>
      <c r="F867" s="1" t="s">
        <v>222</v>
      </c>
      <c r="G867" s="1" t="s">
        <v>1567</v>
      </c>
      <c r="H867" s="1" t="s">
        <v>1727</v>
      </c>
      <c r="I867" s="1">
        <v>-5</v>
      </c>
      <c r="J867" s="2">
        <v>75</v>
      </c>
      <c r="K867" s="2">
        <v>75</v>
      </c>
      <c r="L867" s="2">
        <v>75</v>
      </c>
      <c r="M867" s="2">
        <v>75</v>
      </c>
      <c r="N867" s="1" t="s">
        <v>36</v>
      </c>
      <c r="O867" s="2">
        <v>1</v>
      </c>
      <c r="P867" s="3">
        <f t="shared" si="26"/>
        <v>56.25</v>
      </c>
      <c r="Q867" s="3" t="str">
        <f t="shared" si="27"/>
        <v>FGL000554975</v>
      </c>
    </row>
    <row r="868" spans="1:18" hidden="1">
      <c r="A868" t="s">
        <v>29</v>
      </c>
      <c r="B868" s="1" t="s">
        <v>1072</v>
      </c>
      <c r="C868" s="1" t="s">
        <v>69</v>
      </c>
      <c r="D868" s="1" t="s">
        <v>1744</v>
      </c>
      <c r="E868" s="1" t="s">
        <v>334</v>
      </c>
      <c r="F868" s="1" t="s">
        <v>335</v>
      </c>
      <c r="G868" s="1" t="s">
        <v>1745</v>
      </c>
      <c r="H868" s="1" t="s">
        <v>1727</v>
      </c>
      <c r="I868" s="1">
        <v>-5</v>
      </c>
      <c r="J868" s="2">
        <v>22069.599999999999</v>
      </c>
      <c r="K868" s="2">
        <v>22069.599999999999</v>
      </c>
      <c r="L868" s="2">
        <v>16000</v>
      </c>
      <c r="M868" s="2">
        <v>16000</v>
      </c>
      <c r="N868" s="1" t="s">
        <v>45</v>
      </c>
      <c r="O868" s="2">
        <v>1.3793500000000001</v>
      </c>
      <c r="P868" s="3">
        <f t="shared" si="26"/>
        <v>16000</v>
      </c>
      <c r="Q868" s="3" t="str">
        <f t="shared" si="27"/>
        <v>190980806716000</v>
      </c>
      <c r="R868" t="s">
        <v>91</v>
      </c>
    </row>
    <row r="869" spans="1:18" hidden="1">
      <c r="A869" t="s">
        <v>29</v>
      </c>
      <c r="B869" s="1" t="s">
        <v>1072</v>
      </c>
      <c r="C869" s="1" t="s">
        <v>69</v>
      </c>
      <c r="D869" s="1" t="s">
        <v>1746</v>
      </c>
      <c r="E869" s="1" t="s">
        <v>334</v>
      </c>
      <c r="F869" s="1" t="s">
        <v>335</v>
      </c>
      <c r="G869" s="1" t="s">
        <v>1745</v>
      </c>
      <c r="H869" s="1" t="s">
        <v>1727</v>
      </c>
      <c r="I869" s="1">
        <v>-5</v>
      </c>
      <c r="J869" s="2">
        <v>12844.51</v>
      </c>
      <c r="K869" s="2">
        <v>12844.5072</v>
      </c>
      <c r="L869" s="2">
        <v>9312</v>
      </c>
      <c r="M869" s="2">
        <v>9312</v>
      </c>
      <c r="N869" s="1" t="s">
        <v>45</v>
      </c>
      <c r="O869" s="2">
        <v>1.3793500000000001</v>
      </c>
      <c r="P869" s="3">
        <f t="shared" si="26"/>
        <v>9312</v>
      </c>
      <c r="Q869" s="3" t="str">
        <f t="shared" si="27"/>
        <v>19098098689312</v>
      </c>
      <c r="R869" t="s">
        <v>91</v>
      </c>
    </row>
    <row r="870" spans="1:18" hidden="1">
      <c r="A870" t="s">
        <v>29</v>
      </c>
      <c r="B870" s="1" t="s">
        <v>1072</v>
      </c>
      <c r="C870" s="1" t="s">
        <v>69</v>
      </c>
      <c r="D870" s="1" t="s">
        <v>1747</v>
      </c>
      <c r="E870" s="1" t="s">
        <v>334</v>
      </c>
      <c r="F870" s="1" t="s">
        <v>335</v>
      </c>
      <c r="G870" s="1" t="s">
        <v>1748</v>
      </c>
      <c r="H870" s="1" t="s">
        <v>1727</v>
      </c>
      <c r="I870" s="1">
        <v>-5</v>
      </c>
      <c r="J870" s="2">
        <v>33.57</v>
      </c>
      <c r="K870" s="2">
        <v>33.573379000000003</v>
      </c>
      <c r="L870" s="2">
        <v>24.34</v>
      </c>
      <c r="M870" s="2">
        <v>24.34</v>
      </c>
      <c r="N870" s="1" t="s">
        <v>45</v>
      </c>
      <c r="O870" s="2">
        <v>1.3793500000000001</v>
      </c>
      <c r="P870" s="3">
        <f t="shared" si="26"/>
        <v>24.34</v>
      </c>
      <c r="Q870" s="3" t="str">
        <f t="shared" si="27"/>
        <v>290851328624.34</v>
      </c>
      <c r="R870" t="s">
        <v>91</v>
      </c>
    </row>
    <row r="871" spans="1:18" hidden="1">
      <c r="A871" t="s">
        <v>29</v>
      </c>
      <c r="B871" s="1" t="s">
        <v>1072</v>
      </c>
      <c r="C871" s="1" t="s">
        <v>69</v>
      </c>
      <c r="D871" s="1" t="s">
        <v>1749</v>
      </c>
      <c r="E871" s="1" t="s">
        <v>334</v>
      </c>
      <c r="F871" s="1" t="s">
        <v>335</v>
      </c>
      <c r="G871" s="1" t="s">
        <v>1719</v>
      </c>
      <c r="H871" s="1" t="s">
        <v>1727</v>
      </c>
      <c r="I871" s="1">
        <v>-5</v>
      </c>
      <c r="J871" s="2">
        <v>4174.2</v>
      </c>
      <c r="K871" s="2">
        <v>4174.2027635000004</v>
      </c>
      <c r="L871" s="2">
        <v>3026.21</v>
      </c>
      <c r="M871" s="2">
        <v>3026.21</v>
      </c>
      <c r="N871" s="1" t="s">
        <v>45</v>
      </c>
      <c r="O871" s="2">
        <v>1.3793500000000001</v>
      </c>
      <c r="P871" s="3">
        <f t="shared" si="26"/>
        <v>3026.21</v>
      </c>
      <c r="Q871" s="3" t="str">
        <f t="shared" si="27"/>
        <v>29085110403026.21</v>
      </c>
      <c r="R871" t="s">
        <v>91</v>
      </c>
    </row>
    <row r="872" spans="1:18" hidden="1">
      <c r="A872" t="s">
        <v>29</v>
      </c>
      <c r="B872" s="1" t="s">
        <v>1072</v>
      </c>
      <c r="C872" s="1" t="s">
        <v>69</v>
      </c>
      <c r="D872" s="1" t="s">
        <v>1750</v>
      </c>
      <c r="E872" s="1" t="s">
        <v>334</v>
      </c>
      <c r="F872" s="1" t="s">
        <v>335</v>
      </c>
      <c r="G872" s="1" t="s">
        <v>1699</v>
      </c>
      <c r="H872" s="1" t="s">
        <v>1727</v>
      </c>
      <c r="I872" s="1">
        <v>-5</v>
      </c>
      <c r="J872" s="2">
        <v>5636.42</v>
      </c>
      <c r="K872" s="2">
        <v>5636.4241115000004</v>
      </c>
      <c r="L872" s="2">
        <v>4086.29</v>
      </c>
      <c r="M872" s="2">
        <v>4086.29</v>
      </c>
      <c r="N872" s="1" t="s">
        <v>45</v>
      </c>
      <c r="O872" s="2">
        <v>1.3793500000000001</v>
      </c>
      <c r="P872" s="3">
        <f t="shared" si="26"/>
        <v>4086.29</v>
      </c>
      <c r="Q872" s="3" t="str">
        <f t="shared" si="27"/>
        <v>29085112534086.29</v>
      </c>
      <c r="R872" t="s">
        <v>91</v>
      </c>
    </row>
    <row r="873" spans="1:18" hidden="1">
      <c r="A873" t="s">
        <v>29</v>
      </c>
      <c r="B873" s="1" t="s">
        <v>1072</v>
      </c>
      <c r="C873" s="1" t="s">
        <v>69</v>
      </c>
      <c r="D873" s="1" t="s">
        <v>1751</v>
      </c>
      <c r="E873" s="1" t="s">
        <v>334</v>
      </c>
      <c r="F873" s="1" t="s">
        <v>335</v>
      </c>
      <c r="G873" s="1" t="s">
        <v>1752</v>
      </c>
      <c r="H873" s="1" t="s">
        <v>1727</v>
      </c>
      <c r="I873" s="1">
        <v>-5</v>
      </c>
      <c r="J873" s="2">
        <v>2698.84</v>
      </c>
      <c r="K873" s="2">
        <v>2698.8362099999999</v>
      </c>
      <c r="L873" s="2">
        <v>1956.6</v>
      </c>
      <c r="M873" s="2">
        <v>1956.6</v>
      </c>
      <c r="N873" s="1" t="s">
        <v>45</v>
      </c>
      <c r="O873" s="2">
        <v>1.3793500000000001</v>
      </c>
      <c r="P873" s="3">
        <f t="shared" si="26"/>
        <v>1956.6</v>
      </c>
      <c r="Q873" s="3" t="str">
        <f t="shared" si="27"/>
        <v>29085119941956.6</v>
      </c>
      <c r="R873" t="s">
        <v>91</v>
      </c>
    </row>
    <row r="874" spans="1:18" hidden="1">
      <c r="A874" t="s">
        <v>29</v>
      </c>
      <c r="B874" s="1" t="s">
        <v>1072</v>
      </c>
      <c r="C874" s="1" t="s">
        <v>69</v>
      </c>
      <c r="D874" s="1" t="s">
        <v>1753</v>
      </c>
      <c r="E874" s="1" t="s">
        <v>334</v>
      </c>
      <c r="F874" s="1" t="s">
        <v>335</v>
      </c>
      <c r="G874" s="1" t="s">
        <v>1677</v>
      </c>
      <c r="H874" s="1" t="s">
        <v>1727</v>
      </c>
      <c r="I874" s="1">
        <v>-5</v>
      </c>
      <c r="J874" s="2">
        <v>2286.62</v>
      </c>
      <c r="K874" s="2">
        <v>2286.6174624999999</v>
      </c>
      <c r="L874" s="2">
        <v>1657.75</v>
      </c>
      <c r="M874" s="2">
        <v>1657.75</v>
      </c>
      <c r="N874" s="1" t="s">
        <v>45</v>
      </c>
      <c r="O874" s="2">
        <v>1.3793500000000001</v>
      </c>
      <c r="P874" s="3">
        <f t="shared" si="26"/>
        <v>1657.75</v>
      </c>
      <c r="Q874" s="3" t="str">
        <f t="shared" si="27"/>
        <v>29085119951657.75</v>
      </c>
      <c r="R874" t="s">
        <v>91</v>
      </c>
    </row>
    <row r="875" spans="1:18" hidden="1">
      <c r="A875" t="s">
        <v>29</v>
      </c>
      <c r="B875" s="1" t="s">
        <v>1072</v>
      </c>
      <c r="C875" s="1" t="s">
        <v>69</v>
      </c>
      <c r="D875" s="1" t="s">
        <v>1754</v>
      </c>
      <c r="E875" s="1" t="s">
        <v>334</v>
      </c>
      <c r="F875" s="1" t="s">
        <v>335</v>
      </c>
      <c r="G875" s="1" t="s">
        <v>1755</v>
      </c>
      <c r="H875" s="1" t="s">
        <v>1727</v>
      </c>
      <c r="I875" s="1">
        <v>-5</v>
      </c>
      <c r="J875" s="2">
        <v>1380.74</v>
      </c>
      <c r="K875" s="2">
        <v>1380.7431435000001</v>
      </c>
      <c r="L875" s="2">
        <v>1001.01</v>
      </c>
      <c r="M875" s="2">
        <v>1001.01</v>
      </c>
      <c r="N875" s="1" t="s">
        <v>45</v>
      </c>
      <c r="O875" s="2">
        <v>1.3793500000000001</v>
      </c>
      <c r="P875" s="3">
        <f t="shared" si="26"/>
        <v>1001.01</v>
      </c>
      <c r="Q875" s="3" t="str">
        <f t="shared" si="27"/>
        <v>29085119971001.01</v>
      </c>
      <c r="R875" t="s">
        <v>91</v>
      </c>
    </row>
    <row r="876" spans="1:18" hidden="1">
      <c r="A876" t="s">
        <v>29</v>
      </c>
      <c r="B876" s="1" t="s">
        <v>1072</v>
      </c>
      <c r="C876" s="1" t="s">
        <v>69</v>
      </c>
      <c r="D876" s="1" t="s">
        <v>1756</v>
      </c>
      <c r="E876" s="1" t="s">
        <v>334</v>
      </c>
      <c r="F876" s="1" t="s">
        <v>335</v>
      </c>
      <c r="G876" s="1" t="s">
        <v>1757</v>
      </c>
      <c r="H876" s="1" t="s">
        <v>1727</v>
      </c>
      <c r="I876" s="1">
        <v>-5</v>
      </c>
      <c r="J876" s="2">
        <v>50.73</v>
      </c>
      <c r="K876" s="2">
        <v>50.732492999999998</v>
      </c>
      <c r="L876" s="2">
        <v>36.78</v>
      </c>
      <c r="M876" s="2">
        <v>36.78</v>
      </c>
      <c r="N876" s="1" t="s">
        <v>45</v>
      </c>
      <c r="O876" s="2">
        <v>1.3793500000000001</v>
      </c>
      <c r="P876" s="3">
        <f t="shared" si="26"/>
        <v>36.78</v>
      </c>
      <c r="Q876" s="3" t="str">
        <f t="shared" si="27"/>
        <v>290851300636.78</v>
      </c>
      <c r="R876" t="s">
        <v>91</v>
      </c>
    </row>
    <row r="877" spans="1:18" hidden="1">
      <c r="A877" t="s">
        <v>29</v>
      </c>
      <c r="B877" s="1" t="s">
        <v>1106</v>
      </c>
      <c r="C877" s="1" t="s">
        <v>69</v>
      </c>
      <c r="D877" s="1" t="s">
        <v>1758</v>
      </c>
      <c r="E877" s="1" t="s">
        <v>334</v>
      </c>
      <c r="F877" s="1" t="s">
        <v>335</v>
      </c>
      <c r="G877" s="1" t="s">
        <v>1677</v>
      </c>
      <c r="H877" s="1" t="s">
        <v>1759</v>
      </c>
      <c r="I877" s="1">
        <v>-6</v>
      </c>
      <c r="J877" s="2">
        <v>2286.62</v>
      </c>
      <c r="K877" s="2">
        <v>2286.6174624999999</v>
      </c>
      <c r="L877" s="2">
        <v>1657.75</v>
      </c>
      <c r="M877" s="2">
        <v>1657.75</v>
      </c>
      <c r="N877" s="1" t="s">
        <v>45</v>
      </c>
      <c r="O877" s="2">
        <v>1.3793500000000001</v>
      </c>
      <c r="P877" s="3">
        <f t="shared" si="26"/>
        <v>1657.75</v>
      </c>
      <c r="Q877" s="3" t="str">
        <f t="shared" si="27"/>
        <v>29085155321657.75</v>
      </c>
      <c r="R877" t="s">
        <v>91</v>
      </c>
    </row>
    <row r="878" spans="1:18" hidden="1">
      <c r="A878" t="s">
        <v>29</v>
      </c>
      <c r="B878" s="1" t="s">
        <v>1106</v>
      </c>
      <c r="C878" s="1" t="s">
        <v>69</v>
      </c>
      <c r="D878" s="1" t="s">
        <v>1760</v>
      </c>
      <c r="E878" s="1" t="s">
        <v>334</v>
      </c>
      <c r="F878" s="1" t="s">
        <v>335</v>
      </c>
      <c r="G878" s="1" t="s">
        <v>1677</v>
      </c>
      <c r="H878" s="1" t="s">
        <v>1759</v>
      </c>
      <c r="I878" s="1">
        <v>-6</v>
      </c>
      <c r="J878" s="2">
        <v>4664.7</v>
      </c>
      <c r="K878" s="2">
        <v>4664.6996234999997</v>
      </c>
      <c r="L878" s="2">
        <v>3381.81</v>
      </c>
      <c r="M878" s="2">
        <v>3381.81</v>
      </c>
      <c r="N878" s="1" t="s">
        <v>45</v>
      </c>
      <c r="O878" s="2">
        <v>1.3793500000000001</v>
      </c>
      <c r="P878" s="3">
        <f t="shared" si="26"/>
        <v>3381.81</v>
      </c>
      <c r="Q878" s="3" t="str">
        <f t="shared" si="27"/>
        <v>29085140623381.81</v>
      </c>
      <c r="R878" t="s">
        <v>91</v>
      </c>
    </row>
    <row r="879" spans="1:18" hidden="1">
      <c r="A879" t="s">
        <v>29</v>
      </c>
      <c r="B879" s="1" t="s">
        <v>1106</v>
      </c>
      <c r="C879" s="1" t="s">
        <v>69</v>
      </c>
      <c r="D879" s="1" t="s">
        <v>1761</v>
      </c>
      <c r="E879" s="1" t="s">
        <v>334</v>
      </c>
      <c r="F879" s="1" t="s">
        <v>335</v>
      </c>
      <c r="G879" s="1" t="s">
        <v>1752</v>
      </c>
      <c r="H879" s="1" t="s">
        <v>1759</v>
      </c>
      <c r="I879" s="1">
        <v>-6</v>
      </c>
      <c r="J879" s="2">
        <v>2590.87</v>
      </c>
      <c r="K879" s="2">
        <v>2590.8744855</v>
      </c>
      <c r="L879" s="2">
        <v>1878.33</v>
      </c>
      <c r="M879" s="2">
        <v>1878.33</v>
      </c>
      <c r="N879" s="1" t="s">
        <v>45</v>
      </c>
      <c r="O879" s="2">
        <v>1.3793500000000001</v>
      </c>
      <c r="P879" s="3">
        <f t="shared" si="26"/>
        <v>1878.33</v>
      </c>
      <c r="Q879" s="3" t="str">
        <f t="shared" si="27"/>
        <v>29085141651878.33</v>
      </c>
      <c r="R879" t="s">
        <v>91</v>
      </c>
    </row>
    <row r="880" spans="1:18" hidden="1">
      <c r="A880" t="s">
        <v>29</v>
      </c>
      <c r="B880" s="1" t="s">
        <v>1106</v>
      </c>
      <c r="C880" s="1" t="s">
        <v>69</v>
      </c>
      <c r="D880" s="1" t="s">
        <v>1762</v>
      </c>
      <c r="E880" s="1" t="s">
        <v>334</v>
      </c>
      <c r="F880" s="1" t="s">
        <v>335</v>
      </c>
      <c r="G880" s="1" t="s">
        <v>1677</v>
      </c>
      <c r="H880" s="1" t="s">
        <v>1759</v>
      </c>
      <c r="I880" s="1">
        <v>-6</v>
      </c>
      <c r="J880" s="2">
        <v>274.39</v>
      </c>
      <c r="K880" s="2">
        <v>274.39409549999999</v>
      </c>
      <c r="L880" s="2">
        <v>198.93</v>
      </c>
      <c r="M880" s="2">
        <v>198.93</v>
      </c>
      <c r="N880" s="1" t="s">
        <v>45</v>
      </c>
      <c r="O880" s="2">
        <v>1.3793500000000001</v>
      </c>
      <c r="P880" s="3">
        <f t="shared" si="26"/>
        <v>198.93</v>
      </c>
      <c r="Q880" s="3" t="str">
        <f t="shared" si="27"/>
        <v>2908514167198.93</v>
      </c>
      <c r="R880" t="s">
        <v>91</v>
      </c>
    </row>
    <row r="881" spans="1:18" hidden="1">
      <c r="A881" t="s">
        <v>29</v>
      </c>
      <c r="B881" s="1" t="s">
        <v>1106</v>
      </c>
      <c r="C881" s="1" t="s">
        <v>69</v>
      </c>
      <c r="D881" s="1" t="s">
        <v>1763</v>
      </c>
      <c r="E881" s="1" t="s">
        <v>334</v>
      </c>
      <c r="F881" s="1" t="s">
        <v>335</v>
      </c>
      <c r="G881" s="1" t="s">
        <v>1701</v>
      </c>
      <c r="H881" s="1" t="s">
        <v>1759</v>
      </c>
      <c r="I881" s="1">
        <v>-6</v>
      </c>
      <c r="J881" s="2">
        <v>364.87</v>
      </c>
      <c r="K881" s="2">
        <v>364.86566199999999</v>
      </c>
      <c r="L881" s="2">
        <v>264.52</v>
      </c>
      <c r="M881" s="2">
        <v>264.52</v>
      </c>
      <c r="N881" s="1" t="s">
        <v>45</v>
      </c>
      <c r="O881" s="2">
        <v>1.3793500000000001</v>
      </c>
      <c r="P881" s="3">
        <f t="shared" si="26"/>
        <v>264.52</v>
      </c>
      <c r="Q881" s="3" t="str">
        <f t="shared" si="27"/>
        <v>2908515096264.52</v>
      </c>
      <c r="R881" t="s">
        <v>91</v>
      </c>
    </row>
    <row r="882" spans="1:18" hidden="1">
      <c r="A882" t="s">
        <v>29</v>
      </c>
      <c r="B882" s="1" t="s">
        <v>1106</v>
      </c>
      <c r="C882" s="1" t="s">
        <v>69</v>
      </c>
      <c r="D882" s="1" t="s">
        <v>1764</v>
      </c>
      <c r="E882" s="1" t="s">
        <v>334</v>
      </c>
      <c r="F882" s="1" t="s">
        <v>335</v>
      </c>
      <c r="G882" s="1" t="s">
        <v>1765</v>
      </c>
      <c r="H882" s="1" t="s">
        <v>1759</v>
      </c>
      <c r="I882" s="1">
        <v>-6</v>
      </c>
      <c r="J882" s="2">
        <v>99.51</v>
      </c>
      <c r="K882" s="2">
        <v>99.506309000000002</v>
      </c>
      <c r="L882" s="2">
        <v>72.14</v>
      </c>
      <c r="M882" s="2">
        <v>72.14</v>
      </c>
      <c r="N882" s="1" t="s">
        <v>45</v>
      </c>
      <c r="O882" s="2">
        <v>1.3793500000000001</v>
      </c>
      <c r="P882" s="3">
        <f t="shared" si="26"/>
        <v>72.14</v>
      </c>
      <c r="Q882" s="3" t="str">
        <f t="shared" si="27"/>
        <v>290851553172.14</v>
      </c>
      <c r="R882" t="s">
        <v>91</v>
      </c>
    </row>
    <row r="883" spans="1:18" hidden="1">
      <c r="A883" t="s">
        <v>29</v>
      </c>
      <c r="B883" s="1" t="s">
        <v>1135</v>
      </c>
      <c r="C883" s="1" t="s">
        <v>69</v>
      </c>
      <c r="D883" s="1" t="s">
        <v>1766</v>
      </c>
      <c r="E883" s="1" t="s">
        <v>334</v>
      </c>
      <c r="F883" s="1" t="s">
        <v>335</v>
      </c>
      <c r="G883" s="1" t="s">
        <v>1677</v>
      </c>
      <c r="H883" s="1" t="s">
        <v>1767</v>
      </c>
      <c r="I883" s="1">
        <v>-7</v>
      </c>
      <c r="J883" s="2">
        <v>4391.9399999999996</v>
      </c>
      <c r="K883" s="2">
        <v>4391.9351625600002</v>
      </c>
      <c r="L883" s="2">
        <v>3182.88</v>
      </c>
      <c r="M883" s="2">
        <v>3182.88</v>
      </c>
      <c r="N883" s="1" t="s">
        <v>45</v>
      </c>
      <c r="O883" s="2">
        <v>1.3798619999999999</v>
      </c>
      <c r="P883" s="3">
        <f t="shared" si="26"/>
        <v>3182.88</v>
      </c>
      <c r="Q883" s="3" t="str">
        <f t="shared" si="27"/>
        <v>29085161233182.88</v>
      </c>
      <c r="R883" t="s">
        <v>91</v>
      </c>
    </row>
    <row r="884" spans="1:18" hidden="1">
      <c r="A884" t="s">
        <v>29</v>
      </c>
      <c r="B884" s="1" t="s">
        <v>1135</v>
      </c>
      <c r="C884" s="1" t="s">
        <v>69</v>
      </c>
      <c r="D884" s="1" t="s">
        <v>1768</v>
      </c>
      <c r="E884" s="1" t="s">
        <v>334</v>
      </c>
      <c r="F884" s="1" t="s">
        <v>335</v>
      </c>
      <c r="G884" s="1" t="s">
        <v>1769</v>
      </c>
      <c r="H884" s="1" t="s">
        <v>1767</v>
      </c>
      <c r="I884" s="1">
        <v>-7</v>
      </c>
      <c r="J884" s="2">
        <v>8010.89</v>
      </c>
      <c r="K884" s="2">
        <v>8010.8854313399997</v>
      </c>
      <c r="L884" s="2">
        <v>5805.57</v>
      </c>
      <c r="M884" s="2">
        <v>5805.57</v>
      </c>
      <c r="N884" s="1" t="s">
        <v>45</v>
      </c>
      <c r="O884" s="2">
        <v>1.3798619999999999</v>
      </c>
      <c r="P884" s="3">
        <f t="shared" si="26"/>
        <v>5805.57</v>
      </c>
      <c r="Q884" s="3" t="str">
        <f t="shared" si="27"/>
        <v>29085163675805.57</v>
      </c>
      <c r="R884" t="s">
        <v>91</v>
      </c>
    </row>
    <row r="885" spans="1:18" hidden="1">
      <c r="A885" t="s">
        <v>29</v>
      </c>
      <c r="B885" s="1" t="s">
        <v>1135</v>
      </c>
      <c r="C885" s="1" t="s">
        <v>69</v>
      </c>
      <c r="D885" s="1" t="s">
        <v>1770</v>
      </c>
      <c r="E885" s="1" t="s">
        <v>334</v>
      </c>
      <c r="F885" s="1" t="s">
        <v>335</v>
      </c>
      <c r="G885" s="1" t="s">
        <v>1771</v>
      </c>
      <c r="H885" s="1" t="s">
        <v>1767</v>
      </c>
      <c r="I885" s="1">
        <v>-7</v>
      </c>
      <c r="J885" s="2">
        <v>50.68</v>
      </c>
      <c r="K885" s="2">
        <v>50.682331259999998</v>
      </c>
      <c r="L885" s="2">
        <v>36.729999999999997</v>
      </c>
      <c r="M885" s="2">
        <v>36.729999999999997</v>
      </c>
      <c r="N885" s="1" t="s">
        <v>45</v>
      </c>
      <c r="O885" s="2">
        <v>1.3798619999999999</v>
      </c>
      <c r="P885" s="3">
        <f t="shared" si="26"/>
        <v>36.729999999999997</v>
      </c>
      <c r="Q885" s="3" t="str">
        <f t="shared" si="27"/>
        <v>290851724836.73</v>
      </c>
      <c r="R885" t="s">
        <v>91</v>
      </c>
    </row>
    <row r="886" spans="1:18" hidden="1">
      <c r="A886" t="s">
        <v>29</v>
      </c>
      <c r="B886" s="1" t="s">
        <v>1487</v>
      </c>
      <c r="C886" s="1" t="s">
        <v>69</v>
      </c>
      <c r="D886" s="1" t="s">
        <v>1772</v>
      </c>
      <c r="E886" s="1" t="s">
        <v>156</v>
      </c>
      <c r="F886" s="1" t="s">
        <v>156</v>
      </c>
      <c r="G886" s="1" t="s">
        <v>1525</v>
      </c>
      <c r="H886" s="1" t="s">
        <v>1767</v>
      </c>
      <c r="I886" s="1">
        <v>-7</v>
      </c>
      <c r="J886" s="2">
        <v>1756.64</v>
      </c>
      <c r="K886" s="2">
        <v>1756.64</v>
      </c>
      <c r="L886" s="2">
        <v>1756.64</v>
      </c>
      <c r="M886" s="2">
        <v>1756.64</v>
      </c>
      <c r="N886" s="1" t="s">
        <v>36</v>
      </c>
      <c r="O886" s="2">
        <v>1</v>
      </c>
      <c r="P886" s="3">
        <f t="shared" si="26"/>
        <v>1317.48</v>
      </c>
      <c r="Q886" s="3" t="str">
        <f t="shared" si="27"/>
        <v>2-706-956781756.64</v>
      </c>
    </row>
    <row r="887" spans="1:18" hidden="1">
      <c r="A887" t="s">
        <v>29</v>
      </c>
      <c r="B887" s="1" t="s">
        <v>1150</v>
      </c>
      <c r="C887" s="1" t="s">
        <v>69</v>
      </c>
      <c r="D887" s="1" t="s">
        <v>1773</v>
      </c>
      <c r="E887" s="1" t="s">
        <v>334</v>
      </c>
      <c r="F887" s="1" t="s">
        <v>335</v>
      </c>
      <c r="G887" s="1" t="s">
        <v>1774</v>
      </c>
      <c r="H887" s="1" t="s">
        <v>1775</v>
      </c>
      <c r="I887" s="1">
        <v>-8</v>
      </c>
      <c r="J887" s="2">
        <v>3570.86</v>
      </c>
      <c r="K887" s="2">
        <v>3570.8634000000002</v>
      </c>
      <c r="L887" s="2">
        <v>2600</v>
      </c>
      <c r="M887" s="2">
        <v>2600</v>
      </c>
      <c r="N887" s="1" t="s">
        <v>45</v>
      </c>
      <c r="O887" s="2">
        <v>1.3734090000000001</v>
      </c>
      <c r="P887" s="3">
        <f t="shared" si="26"/>
        <v>2600</v>
      </c>
      <c r="Q887" s="3" t="str">
        <f t="shared" si="27"/>
        <v>19098163522600</v>
      </c>
      <c r="R887" t="s">
        <v>91</v>
      </c>
    </row>
    <row r="888" spans="1:18" hidden="1">
      <c r="A888" t="s">
        <v>29</v>
      </c>
      <c r="B888" s="1" t="s">
        <v>1150</v>
      </c>
      <c r="C888" s="1" t="s">
        <v>69</v>
      </c>
      <c r="D888" s="1" t="s">
        <v>1776</v>
      </c>
      <c r="E888" s="1" t="s">
        <v>584</v>
      </c>
      <c r="F888" s="1" t="s">
        <v>585</v>
      </c>
      <c r="G888" s="1" t="s">
        <v>752</v>
      </c>
      <c r="H888" s="1" t="s">
        <v>1775</v>
      </c>
      <c r="I888" s="1">
        <v>-8</v>
      </c>
      <c r="J888" s="2">
        <v>179</v>
      </c>
      <c r="K888" s="2">
        <v>179</v>
      </c>
      <c r="L888" s="2">
        <v>179</v>
      </c>
      <c r="M888" s="2">
        <v>179</v>
      </c>
      <c r="N888" s="1" t="s">
        <v>36</v>
      </c>
      <c r="O888" s="2">
        <v>1</v>
      </c>
      <c r="P888" s="3">
        <f t="shared" si="26"/>
        <v>134.25</v>
      </c>
      <c r="Q888" s="3" t="str">
        <f t="shared" si="27"/>
        <v>7847675179</v>
      </c>
    </row>
    <row r="889" spans="1:18" hidden="1">
      <c r="A889" t="s">
        <v>29</v>
      </c>
      <c r="B889" s="1" t="s">
        <v>1150</v>
      </c>
      <c r="C889" s="1" t="s">
        <v>69</v>
      </c>
      <c r="D889" s="1" t="s">
        <v>1777</v>
      </c>
      <c r="E889" s="1" t="s">
        <v>584</v>
      </c>
      <c r="F889" s="1" t="s">
        <v>585</v>
      </c>
      <c r="G889" s="1" t="s">
        <v>752</v>
      </c>
      <c r="H889" s="1" t="s">
        <v>1775</v>
      </c>
      <c r="I889" s="1">
        <v>-8</v>
      </c>
      <c r="J889" s="2">
        <v>189.9</v>
      </c>
      <c r="K889" s="2">
        <v>189.9</v>
      </c>
      <c r="L889" s="2">
        <v>189.9</v>
      </c>
      <c r="M889" s="2">
        <v>189.9</v>
      </c>
      <c r="N889" s="1" t="s">
        <v>36</v>
      </c>
      <c r="O889" s="2">
        <v>1</v>
      </c>
      <c r="P889" s="3">
        <f t="shared" si="26"/>
        <v>142.42500000000001</v>
      </c>
      <c r="Q889" s="3" t="str">
        <f t="shared" si="27"/>
        <v>7846859189.9</v>
      </c>
    </row>
    <row r="890" spans="1:18" hidden="1">
      <c r="A890" t="s">
        <v>29</v>
      </c>
      <c r="B890" s="1" t="s">
        <v>1150</v>
      </c>
      <c r="C890" s="1" t="s">
        <v>69</v>
      </c>
      <c r="D890" s="1" t="s">
        <v>1778</v>
      </c>
      <c r="E890" s="1" t="s">
        <v>584</v>
      </c>
      <c r="F890" s="1" t="s">
        <v>585</v>
      </c>
      <c r="G890" s="1" t="s">
        <v>752</v>
      </c>
      <c r="H890" s="1" t="s">
        <v>1775</v>
      </c>
      <c r="I890" s="1">
        <v>-8</v>
      </c>
      <c r="J890" s="2">
        <v>97.41</v>
      </c>
      <c r="K890" s="2">
        <v>97.41</v>
      </c>
      <c r="L890" s="2">
        <v>97.41</v>
      </c>
      <c r="M890" s="2">
        <v>97.41</v>
      </c>
      <c r="N890" s="1" t="s">
        <v>36</v>
      </c>
      <c r="O890" s="2">
        <v>1</v>
      </c>
      <c r="P890" s="3">
        <f t="shared" si="26"/>
        <v>73.057500000000005</v>
      </c>
      <c r="Q890" s="3" t="str">
        <f t="shared" si="27"/>
        <v>784704097.41</v>
      </c>
    </row>
    <row r="891" spans="1:18" hidden="1">
      <c r="A891" t="s">
        <v>29</v>
      </c>
      <c r="B891" s="1" t="s">
        <v>1150</v>
      </c>
      <c r="C891" s="1" t="s">
        <v>69</v>
      </c>
      <c r="D891" s="1" t="s">
        <v>1779</v>
      </c>
      <c r="E891" s="1" t="s">
        <v>584</v>
      </c>
      <c r="F891" s="1" t="s">
        <v>585</v>
      </c>
      <c r="G891" s="1" t="s">
        <v>752</v>
      </c>
      <c r="H891" s="1" t="s">
        <v>1775</v>
      </c>
      <c r="I891" s="1">
        <v>-8</v>
      </c>
      <c r="J891" s="2">
        <v>199.34</v>
      </c>
      <c r="K891" s="2">
        <v>199.34</v>
      </c>
      <c r="L891" s="2">
        <v>199.34</v>
      </c>
      <c r="M891" s="2">
        <v>199.34</v>
      </c>
      <c r="N891" s="1" t="s">
        <v>36</v>
      </c>
      <c r="O891" s="2">
        <v>1</v>
      </c>
      <c r="P891" s="3">
        <f t="shared" si="26"/>
        <v>149.505</v>
      </c>
      <c r="Q891" s="3" t="str">
        <f t="shared" si="27"/>
        <v>7846447199.34</v>
      </c>
    </row>
    <row r="892" spans="1:18" hidden="1">
      <c r="A892" t="s">
        <v>29</v>
      </c>
      <c r="B892" s="1" t="s">
        <v>1150</v>
      </c>
      <c r="C892" s="1" t="s">
        <v>69</v>
      </c>
      <c r="D892" s="1" t="s">
        <v>1780</v>
      </c>
      <c r="E892" s="1" t="s">
        <v>584</v>
      </c>
      <c r="F892" s="1" t="s">
        <v>585</v>
      </c>
      <c r="G892" s="1" t="s">
        <v>752</v>
      </c>
      <c r="H892" s="1" t="s">
        <v>1775</v>
      </c>
      <c r="I892" s="1">
        <v>-8</v>
      </c>
      <c r="J892" s="2">
        <v>189.9</v>
      </c>
      <c r="K892" s="2">
        <v>189.9</v>
      </c>
      <c r="L892" s="2">
        <v>189.9</v>
      </c>
      <c r="M892" s="2">
        <v>189.9</v>
      </c>
      <c r="N892" s="1" t="s">
        <v>36</v>
      </c>
      <c r="O892" s="2">
        <v>1</v>
      </c>
      <c r="P892" s="3">
        <f t="shared" si="26"/>
        <v>142.42500000000001</v>
      </c>
      <c r="Q892" s="3" t="str">
        <f t="shared" si="27"/>
        <v>7846344189.9</v>
      </c>
    </row>
    <row r="893" spans="1:18" hidden="1">
      <c r="A893" t="s">
        <v>29</v>
      </c>
      <c r="B893" s="1" t="s">
        <v>1150</v>
      </c>
      <c r="C893" s="1" t="s">
        <v>69</v>
      </c>
      <c r="D893" s="1" t="s">
        <v>1781</v>
      </c>
      <c r="E893" s="1" t="s">
        <v>584</v>
      </c>
      <c r="F893" s="1" t="s">
        <v>585</v>
      </c>
      <c r="G893" s="1" t="s">
        <v>752</v>
      </c>
      <c r="H893" s="1" t="s">
        <v>1775</v>
      </c>
      <c r="I893" s="1">
        <v>-8</v>
      </c>
      <c r="J893" s="2">
        <v>179</v>
      </c>
      <c r="K893" s="2">
        <v>179</v>
      </c>
      <c r="L893" s="2">
        <v>179</v>
      </c>
      <c r="M893" s="2">
        <v>179</v>
      </c>
      <c r="N893" s="1" t="s">
        <v>36</v>
      </c>
      <c r="O893" s="2">
        <v>1</v>
      </c>
      <c r="P893" s="3">
        <f t="shared" si="26"/>
        <v>134.25</v>
      </c>
      <c r="Q893" s="3" t="str">
        <f t="shared" si="27"/>
        <v>7846440179</v>
      </c>
    </row>
    <row r="894" spans="1:18" hidden="1">
      <c r="A894" t="s">
        <v>29</v>
      </c>
      <c r="B894" s="1" t="s">
        <v>1150</v>
      </c>
      <c r="C894" s="1" t="s">
        <v>69</v>
      </c>
      <c r="D894" s="1" t="s">
        <v>1782</v>
      </c>
      <c r="E894" s="1" t="s">
        <v>529</v>
      </c>
      <c r="F894" s="1" t="s">
        <v>530</v>
      </c>
      <c r="G894" s="1" t="s">
        <v>1783</v>
      </c>
      <c r="H894" s="1" t="s">
        <v>1775</v>
      </c>
      <c r="I894" s="1">
        <v>-8</v>
      </c>
      <c r="J894" s="2">
        <v>3525.6</v>
      </c>
      <c r="K894" s="2">
        <v>3525.6</v>
      </c>
      <c r="L894" s="2">
        <v>3525.6</v>
      </c>
      <c r="M894" s="2">
        <v>3525.6</v>
      </c>
      <c r="N894" s="1" t="s">
        <v>36</v>
      </c>
      <c r="O894" s="2">
        <v>1</v>
      </c>
      <c r="P894" s="3">
        <f t="shared" si="26"/>
        <v>2644.2</v>
      </c>
      <c r="Q894" s="3" t="str">
        <f t="shared" si="27"/>
        <v>IN17434223525.6</v>
      </c>
      <c r="R894" t="s">
        <v>1784</v>
      </c>
    </row>
    <row r="895" spans="1:18" hidden="1">
      <c r="A895" t="s">
        <v>29</v>
      </c>
      <c r="B895" s="1" t="s">
        <v>1150</v>
      </c>
      <c r="C895" s="1" t="s">
        <v>69</v>
      </c>
      <c r="D895" s="1" t="s">
        <v>1785</v>
      </c>
      <c r="E895" s="1" t="s">
        <v>239</v>
      </c>
      <c r="F895" s="1" t="s">
        <v>240</v>
      </c>
      <c r="G895" s="1" t="s">
        <v>1786</v>
      </c>
      <c r="H895" s="1" t="s">
        <v>1775</v>
      </c>
      <c r="I895" s="1">
        <v>-8</v>
      </c>
      <c r="J895" s="2">
        <v>3358.42</v>
      </c>
      <c r="K895" s="2">
        <v>3358.42449588</v>
      </c>
      <c r="L895" s="2">
        <v>2445.3200000000002</v>
      </c>
      <c r="M895" s="2">
        <v>2445.3200000000002</v>
      </c>
      <c r="N895" s="1" t="s">
        <v>45</v>
      </c>
      <c r="O895" s="2">
        <v>1.3734090000000001</v>
      </c>
      <c r="P895" s="3">
        <f t="shared" ref="P895:P958" si="28">IF(N895="CAD",$P$1,1)*M895</f>
        <v>2445.3200000000002</v>
      </c>
      <c r="Q895" s="3" t="str">
        <f t="shared" ref="Q895:Q958" si="29">D895&amp;M895</f>
        <v>91169387022445.32</v>
      </c>
      <c r="R895" t="s">
        <v>59</v>
      </c>
    </row>
    <row r="896" spans="1:18" hidden="1">
      <c r="A896" t="s">
        <v>29</v>
      </c>
      <c r="B896" s="1" t="s">
        <v>1150</v>
      </c>
      <c r="C896" s="1" t="s">
        <v>69</v>
      </c>
      <c r="D896" s="1" t="s">
        <v>1787</v>
      </c>
      <c r="E896" s="1" t="s">
        <v>239</v>
      </c>
      <c r="F896" s="1" t="s">
        <v>240</v>
      </c>
      <c r="G896" s="1" t="s">
        <v>1786</v>
      </c>
      <c r="H896" s="1" t="s">
        <v>1775</v>
      </c>
      <c r="I896" s="1">
        <v>-8</v>
      </c>
      <c r="J896" s="2">
        <v>20237.71</v>
      </c>
      <c r="K896" s="2">
        <v>20237.712852000001</v>
      </c>
      <c r="L896" s="2">
        <v>14671.92</v>
      </c>
      <c r="M896" s="2">
        <v>14671.92</v>
      </c>
      <c r="N896" s="1" t="s">
        <v>45</v>
      </c>
      <c r="O896" s="2">
        <v>1.3793500000000001</v>
      </c>
      <c r="P896" s="3">
        <f t="shared" si="28"/>
        <v>14671.92</v>
      </c>
      <c r="Q896" s="3" t="str">
        <f t="shared" si="29"/>
        <v>911693870314671.92</v>
      </c>
      <c r="R896" t="s">
        <v>59</v>
      </c>
    </row>
    <row r="897" spans="1:18" hidden="1">
      <c r="A897" t="s">
        <v>29</v>
      </c>
      <c r="B897" s="1" t="s">
        <v>1150</v>
      </c>
      <c r="C897" s="1" t="s">
        <v>69</v>
      </c>
      <c r="D897" s="1" t="s">
        <v>1788</v>
      </c>
      <c r="E897" s="1" t="s">
        <v>239</v>
      </c>
      <c r="F897" s="1" t="s">
        <v>240</v>
      </c>
      <c r="G897" s="1" t="s">
        <v>1789</v>
      </c>
      <c r="H897" s="1" t="s">
        <v>1775</v>
      </c>
      <c r="I897" s="1">
        <v>-8</v>
      </c>
      <c r="J897" s="2">
        <v>39653.69</v>
      </c>
      <c r="K897" s="2">
        <v>39653.691735</v>
      </c>
      <c r="L897" s="2">
        <v>28748.1</v>
      </c>
      <c r="M897" s="2">
        <v>28748.1</v>
      </c>
      <c r="N897" s="1" t="s">
        <v>45</v>
      </c>
      <c r="O897" s="2">
        <v>1.3793500000000001</v>
      </c>
      <c r="P897" s="3">
        <f t="shared" si="28"/>
        <v>28748.1</v>
      </c>
      <c r="Q897" s="3" t="str">
        <f t="shared" si="29"/>
        <v>911693870428748.1</v>
      </c>
      <c r="R897" t="s">
        <v>59</v>
      </c>
    </row>
    <row r="898" spans="1:18" hidden="1">
      <c r="A898" t="s">
        <v>29</v>
      </c>
      <c r="B898" s="1" t="s">
        <v>1150</v>
      </c>
      <c r="C898" s="1" t="s">
        <v>69</v>
      </c>
      <c r="D898" s="1" t="s">
        <v>1790</v>
      </c>
      <c r="E898" s="1" t="s">
        <v>239</v>
      </c>
      <c r="F898" s="1" t="s">
        <v>240</v>
      </c>
      <c r="G898" s="1" t="s">
        <v>1789</v>
      </c>
      <c r="H898" s="1" t="s">
        <v>1775</v>
      </c>
      <c r="I898" s="1">
        <v>-8</v>
      </c>
      <c r="J898" s="2">
        <v>9205.33</v>
      </c>
      <c r="K898" s="2">
        <v>9205.3267145000009</v>
      </c>
      <c r="L898" s="2">
        <v>6673.67</v>
      </c>
      <c r="M898" s="2">
        <v>6673.67</v>
      </c>
      <c r="N898" s="1" t="s">
        <v>45</v>
      </c>
      <c r="O898" s="2">
        <v>1.3793500000000001</v>
      </c>
      <c r="P898" s="3">
        <f t="shared" si="28"/>
        <v>6673.67</v>
      </c>
      <c r="Q898" s="3" t="str">
        <f t="shared" si="29"/>
        <v>91169387056673.67</v>
      </c>
      <c r="R898" t="s">
        <v>59</v>
      </c>
    </row>
    <row r="899" spans="1:18" hidden="1">
      <c r="A899" t="s">
        <v>29</v>
      </c>
      <c r="B899" s="1" t="s">
        <v>1150</v>
      </c>
      <c r="C899" s="1" t="s">
        <v>69</v>
      </c>
      <c r="D899" s="1" t="s">
        <v>1791</v>
      </c>
      <c r="E899" s="1" t="s">
        <v>334</v>
      </c>
      <c r="F899" s="1" t="s">
        <v>335</v>
      </c>
      <c r="G899" s="1" t="s">
        <v>1745</v>
      </c>
      <c r="H899" s="1" t="s">
        <v>1775</v>
      </c>
      <c r="I899" s="1">
        <v>-8</v>
      </c>
      <c r="J899" s="2">
        <v>11448.74</v>
      </c>
      <c r="K899" s="2">
        <v>11448.737424000001</v>
      </c>
      <c r="L899" s="2">
        <v>8336</v>
      </c>
      <c r="M899" s="2">
        <v>8336</v>
      </c>
      <c r="N899" s="1" t="s">
        <v>45</v>
      </c>
      <c r="O899" s="2">
        <v>1.3734090000000001</v>
      </c>
      <c r="P899" s="3">
        <f t="shared" si="28"/>
        <v>8336</v>
      </c>
      <c r="Q899" s="3" t="str">
        <f t="shared" si="29"/>
        <v>19098166588336</v>
      </c>
      <c r="R899" t="s">
        <v>91</v>
      </c>
    </row>
    <row r="900" spans="1:18" hidden="1">
      <c r="A900" t="s">
        <v>29</v>
      </c>
      <c r="B900" s="1" t="s">
        <v>1150</v>
      </c>
      <c r="C900" s="1" t="s">
        <v>69</v>
      </c>
      <c r="D900" s="1" t="s">
        <v>1792</v>
      </c>
      <c r="E900" s="1" t="s">
        <v>334</v>
      </c>
      <c r="F900" s="1" t="s">
        <v>335</v>
      </c>
      <c r="G900" s="1" t="s">
        <v>1793</v>
      </c>
      <c r="H900" s="1" t="s">
        <v>1775</v>
      </c>
      <c r="I900" s="1">
        <v>-8</v>
      </c>
      <c r="J900" s="2">
        <v>105.27</v>
      </c>
      <c r="K900" s="2">
        <v>105.27179984999999</v>
      </c>
      <c r="L900" s="2">
        <v>76.650000000000006</v>
      </c>
      <c r="M900" s="2">
        <v>76.650000000000006</v>
      </c>
      <c r="N900" s="1" t="s">
        <v>45</v>
      </c>
      <c r="O900" s="2">
        <v>1.3734090000000001</v>
      </c>
      <c r="P900" s="3">
        <f t="shared" si="28"/>
        <v>76.650000000000006</v>
      </c>
      <c r="Q900" s="3" t="str">
        <f t="shared" si="29"/>
        <v>290851811376.65</v>
      </c>
      <c r="R900" t="s">
        <v>91</v>
      </c>
    </row>
    <row r="901" spans="1:18" hidden="1">
      <c r="A901" t="s">
        <v>29</v>
      </c>
      <c r="B901" s="1" t="s">
        <v>1150</v>
      </c>
      <c r="C901" s="1" t="s">
        <v>69</v>
      </c>
      <c r="D901" s="1" t="s">
        <v>1794</v>
      </c>
      <c r="E901" s="1" t="s">
        <v>334</v>
      </c>
      <c r="F901" s="1" t="s">
        <v>335</v>
      </c>
      <c r="G901" s="1" t="s">
        <v>1677</v>
      </c>
      <c r="H901" s="1" t="s">
        <v>1775</v>
      </c>
      <c r="I901" s="1">
        <v>-8</v>
      </c>
      <c r="J901" s="2">
        <v>2276.77</v>
      </c>
      <c r="K901" s="2">
        <v>2276.76876975</v>
      </c>
      <c r="L901" s="2">
        <v>1657.75</v>
      </c>
      <c r="M901" s="2">
        <v>1657.75</v>
      </c>
      <c r="N901" s="1" t="s">
        <v>45</v>
      </c>
      <c r="O901" s="2">
        <v>1.3734090000000001</v>
      </c>
      <c r="P901" s="3">
        <f t="shared" si="28"/>
        <v>1657.75</v>
      </c>
      <c r="Q901" s="3" t="str">
        <f t="shared" si="29"/>
        <v>29085185521657.75</v>
      </c>
      <c r="R901" t="s">
        <v>91</v>
      </c>
    </row>
    <row r="902" spans="1:18" hidden="1">
      <c r="A902" t="s">
        <v>29</v>
      </c>
      <c r="B902" s="1" t="s">
        <v>1150</v>
      </c>
      <c r="C902" s="1" t="s">
        <v>69</v>
      </c>
      <c r="D902" s="1" t="s">
        <v>1795</v>
      </c>
      <c r="E902" s="1" t="s">
        <v>334</v>
      </c>
      <c r="F902" s="1" t="s">
        <v>335</v>
      </c>
      <c r="G902" s="1" t="s">
        <v>1796</v>
      </c>
      <c r="H902" s="1" t="s">
        <v>1775</v>
      </c>
      <c r="I902" s="1">
        <v>-8</v>
      </c>
      <c r="J902" s="2">
        <v>11434.66</v>
      </c>
      <c r="K902" s="2">
        <v>11434.659981749999</v>
      </c>
      <c r="L902" s="2">
        <v>8325.75</v>
      </c>
      <c r="M902" s="2">
        <v>8325.75</v>
      </c>
      <c r="N902" s="1" t="s">
        <v>45</v>
      </c>
      <c r="O902" s="2">
        <v>1.3734090000000001</v>
      </c>
      <c r="P902" s="3">
        <f t="shared" si="28"/>
        <v>8325.75</v>
      </c>
      <c r="Q902" s="3" t="str">
        <f t="shared" si="29"/>
        <v>29085185558325.75</v>
      </c>
      <c r="R902" t="s">
        <v>91</v>
      </c>
    </row>
    <row r="903" spans="1:18" hidden="1">
      <c r="A903" t="s">
        <v>29</v>
      </c>
      <c r="B903" s="1" t="s">
        <v>1150</v>
      </c>
      <c r="C903" s="1" t="s">
        <v>69</v>
      </c>
      <c r="D903" s="1" t="s">
        <v>1797</v>
      </c>
      <c r="E903" s="1" t="s">
        <v>334</v>
      </c>
      <c r="F903" s="1" t="s">
        <v>335</v>
      </c>
      <c r="G903" s="1" t="s">
        <v>1677</v>
      </c>
      <c r="H903" s="1" t="s">
        <v>1775</v>
      </c>
      <c r="I903" s="1">
        <v>-8</v>
      </c>
      <c r="J903" s="2">
        <v>1366.06</v>
      </c>
      <c r="K903" s="2">
        <v>1366.0612618499999</v>
      </c>
      <c r="L903" s="2">
        <v>994.65</v>
      </c>
      <c r="M903" s="2">
        <v>994.65</v>
      </c>
      <c r="N903" s="1" t="s">
        <v>45</v>
      </c>
      <c r="O903" s="2">
        <v>1.3734090000000001</v>
      </c>
      <c r="P903" s="3">
        <f t="shared" si="28"/>
        <v>994.65</v>
      </c>
      <c r="Q903" s="3" t="str">
        <f t="shared" si="29"/>
        <v>2908518744994.65</v>
      </c>
      <c r="R903" t="s">
        <v>91</v>
      </c>
    </row>
    <row r="904" spans="1:18" hidden="1">
      <c r="A904" t="s">
        <v>29</v>
      </c>
      <c r="B904" s="1" t="s">
        <v>1150</v>
      </c>
      <c r="C904" s="1" t="s">
        <v>69</v>
      </c>
      <c r="D904" s="1" t="s">
        <v>1798</v>
      </c>
      <c r="E904" s="1" t="s">
        <v>334</v>
      </c>
      <c r="F904" s="1" t="s">
        <v>335</v>
      </c>
      <c r="G904" s="1" t="s">
        <v>1799</v>
      </c>
      <c r="H904" s="1" t="s">
        <v>1775</v>
      </c>
      <c r="I904" s="1">
        <v>-8</v>
      </c>
      <c r="J904" s="2">
        <v>1356.97</v>
      </c>
      <c r="K904" s="2">
        <v>1356.9692942700001</v>
      </c>
      <c r="L904" s="2">
        <v>988.03</v>
      </c>
      <c r="M904" s="2">
        <v>988.03</v>
      </c>
      <c r="N904" s="1" t="s">
        <v>45</v>
      </c>
      <c r="O904" s="2">
        <v>1.3734090000000001</v>
      </c>
      <c r="P904" s="3">
        <f t="shared" si="28"/>
        <v>988.03</v>
      </c>
      <c r="Q904" s="3" t="str">
        <f t="shared" si="29"/>
        <v>2908518745988.03</v>
      </c>
      <c r="R904" t="s">
        <v>91</v>
      </c>
    </row>
    <row r="905" spans="1:18" hidden="1">
      <c r="A905" t="s">
        <v>29</v>
      </c>
      <c r="B905" s="1" t="s">
        <v>1150</v>
      </c>
      <c r="C905" s="1" t="s">
        <v>69</v>
      </c>
      <c r="D905" s="1" t="s">
        <v>1800</v>
      </c>
      <c r="E905" s="1" t="s">
        <v>334</v>
      </c>
      <c r="F905" s="1"/>
      <c r="G905" s="1" t="s">
        <v>1196</v>
      </c>
      <c r="H905" s="1" t="s">
        <v>1775</v>
      </c>
      <c r="I905" s="1">
        <v>-8</v>
      </c>
      <c r="J905" s="2">
        <v>2472.14</v>
      </c>
      <c r="K905" s="2">
        <v>2472.1361999999999</v>
      </c>
      <c r="L905" s="2">
        <v>1800</v>
      </c>
      <c r="M905" s="2">
        <v>1800</v>
      </c>
      <c r="N905" s="1" t="s">
        <v>45</v>
      </c>
      <c r="O905" s="2">
        <v>1.3734090000000001</v>
      </c>
      <c r="P905" s="3">
        <f t="shared" si="28"/>
        <v>1800</v>
      </c>
      <c r="Q905" s="3" t="str">
        <f t="shared" si="29"/>
        <v>86000060931800</v>
      </c>
    </row>
    <row r="906" spans="1:18" hidden="1">
      <c r="A906" t="s">
        <v>29</v>
      </c>
      <c r="B906" s="1" t="s">
        <v>1497</v>
      </c>
      <c r="C906" s="1" t="s">
        <v>69</v>
      </c>
      <c r="D906" s="1" t="s">
        <v>1801</v>
      </c>
      <c r="E906" s="1" t="s">
        <v>156</v>
      </c>
      <c r="F906" s="1"/>
      <c r="G906" s="1" t="s">
        <v>1525</v>
      </c>
      <c r="H906" s="1" t="s">
        <v>1775</v>
      </c>
      <c r="I906" s="1">
        <v>-8</v>
      </c>
      <c r="J906" s="2">
        <v>368.15</v>
      </c>
      <c r="K906" s="2">
        <v>368.15</v>
      </c>
      <c r="L906" s="2">
        <v>368.15</v>
      </c>
      <c r="M906" s="2">
        <v>368.15</v>
      </c>
      <c r="N906" s="1" t="s">
        <v>36</v>
      </c>
      <c r="O906" s="2">
        <v>1</v>
      </c>
      <c r="P906" s="3">
        <f t="shared" si="28"/>
        <v>276.11249999999995</v>
      </c>
      <c r="Q906" s="3" t="str">
        <f t="shared" si="29"/>
        <v>2-707-19749368.15</v>
      </c>
    </row>
    <row r="907" spans="1:18" hidden="1">
      <c r="A907" t="s">
        <v>29</v>
      </c>
      <c r="B907" s="1" t="s">
        <v>1159</v>
      </c>
      <c r="C907" s="1" t="s">
        <v>69</v>
      </c>
      <c r="D907" s="1" t="s">
        <v>1802</v>
      </c>
      <c r="E907" s="1" t="s">
        <v>221</v>
      </c>
      <c r="F907" s="1" t="s">
        <v>222</v>
      </c>
      <c r="G907" s="1" t="s">
        <v>1803</v>
      </c>
      <c r="H907" s="1" t="s">
        <v>1804</v>
      </c>
      <c r="I907" s="1">
        <v>-9</v>
      </c>
      <c r="J907" s="2">
        <v>2590.42</v>
      </c>
      <c r="K907" s="2">
        <v>2590.4188640399998</v>
      </c>
      <c r="L907" s="2">
        <v>1893.48</v>
      </c>
      <c r="M907" s="2">
        <v>1893.48</v>
      </c>
      <c r="N907" s="1" t="s">
        <v>45</v>
      </c>
      <c r="O907" s="2">
        <v>1.3680730000000001</v>
      </c>
      <c r="P907" s="3">
        <f t="shared" si="28"/>
        <v>1893.48</v>
      </c>
      <c r="Q907" s="3" t="str">
        <f t="shared" si="29"/>
        <v>FGL00056341893.48</v>
      </c>
    </row>
    <row r="908" spans="1:18" hidden="1">
      <c r="A908" t="s">
        <v>29</v>
      </c>
      <c r="B908" s="1" t="s">
        <v>1159</v>
      </c>
      <c r="C908" s="1" t="s">
        <v>69</v>
      </c>
      <c r="D908" s="1" t="s">
        <v>1805</v>
      </c>
      <c r="E908" s="1" t="s">
        <v>221</v>
      </c>
      <c r="F908" s="1" t="s">
        <v>222</v>
      </c>
      <c r="G908" s="1" t="s">
        <v>1806</v>
      </c>
      <c r="H908" s="1" t="s">
        <v>1804</v>
      </c>
      <c r="I908" s="1">
        <v>-9</v>
      </c>
      <c r="J908" s="2">
        <v>239.41</v>
      </c>
      <c r="K908" s="2">
        <v>239.41277500000001</v>
      </c>
      <c r="L908" s="2">
        <v>175</v>
      </c>
      <c r="M908" s="2">
        <v>175</v>
      </c>
      <c r="N908" s="1" t="s">
        <v>45</v>
      </c>
      <c r="O908" s="2">
        <v>1.3680730000000001</v>
      </c>
      <c r="P908" s="3">
        <f t="shared" si="28"/>
        <v>175</v>
      </c>
      <c r="Q908" s="3" t="str">
        <f t="shared" si="29"/>
        <v>FGL0005635175</v>
      </c>
    </row>
    <row r="909" spans="1:18" hidden="1">
      <c r="A909" t="s">
        <v>29</v>
      </c>
      <c r="B909" s="1" t="s">
        <v>1159</v>
      </c>
      <c r="C909" s="1" t="s">
        <v>69</v>
      </c>
      <c r="D909" s="1" t="s">
        <v>1807</v>
      </c>
      <c r="E909" s="1" t="s">
        <v>616</v>
      </c>
      <c r="F909" s="1" t="s">
        <v>222</v>
      </c>
      <c r="G909" s="1" t="s">
        <v>1808</v>
      </c>
      <c r="H909" s="1" t="s">
        <v>1804</v>
      </c>
      <c r="I909" s="1">
        <v>-9</v>
      </c>
      <c r="J909" s="2">
        <v>810</v>
      </c>
      <c r="K909" s="2">
        <v>810</v>
      </c>
      <c r="L909" s="2">
        <v>810</v>
      </c>
      <c r="M909" s="2">
        <v>810</v>
      </c>
      <c r="N909" s="1" t="s">
        <v>36</v>
      </c>
      <c r="O909" s="2">
        <v>1</v>
      </c>
      <c r="P909" s="3">
        <f t="shared" si="28"/>
        <v>607.5</v>
      </c>
      <c r="Q909" s="3" t="str">
        <f t="shared" si="29"/>
        <v>FGL0005648810</v>
      </c>
    </row>
    <row r="910" spans="1:18" hidden="1">
      <c r="A910" t="s">
        <v>29</v>
      </c>
      <c r="B910" s="1" t="s">
        <v>1159</v>
      </c>
      <c r="C910" s="1" t="s">
        <v>69</v>
      </c>
      <c r="D910" s="1" t="s">
        <v>1809</v>
      </c>
      <c r="E910" s="1" t="s">
        <v>616</v>
      </c>
      <c r="F910" s="1" t="s">
        <v>222</v>
      </c>
      <c r="G910" s="1" t="s">
        <v>1808</v>
      </c>
      <c r="H910" s="1" t="s">
        <v>1804</v>
      </c>
      <c r="I910" s="1">
        <v>-9</v>
      </c>
      <c r="J910" s="2">
        <v>830</v>
      </c>
      <c r="K910" s="2">
        <v>830</v>
      </c>
      <c r="L910" s="2">
        <v>830</v>
      </c>
      <c r="M910" s="2">
        <v>830</v>
      </c>
      <c r="N910" s="1" t="s">
        <v>36</v>
      </c>
      <c r="O910" s="2">
        <v>1</v>
      </c>
      <c r="P910" s="3">
        <f t="shared" si="28"/>
        <v>622.5</v>
      </c>
      <c r="Q910" s="3" t="str">
        <f t="shared" si="29"/>
        <v>FGL0005649830</v>
      </c>
    </row>
    <row r="911" spans="1:18" hidden="1">
      <c r="A911" t="s">
        <v>29</v>
      </c>
      <c r="B911" s="1" t="s">
        <v>1159</v>
      </c>
      <c r="C911" s="1" t="s">
        <v>69</v>
      </c>
      <c r="D911" s="1" t="s">
        <v>1810</v>
      </c>
      <c r="E911" s="1" t="s">
        <v>584</v>
      </c>
      <c r="F911" s="1" t="s">
        <v>585</v>
      </c>
      <c r="G911" s="1" t="s">
        <v>752</v>
      </c>
      <c r="H911" s="1" t="s">
        <v>1804</v>
      </c>
      <c r="I911" s="1">
        <v>-9</v>
      </c>
      <c r="J911" s="2">
        <v>179</v>
      </c>
      <c r="K911" s="2">
        <v>179</v>
      </c>
      <c r="L911" s="2">
        <v>179</v>
      </c>
      <c r="M911" s="2">
        <v>179</v>
      </c>
      <c r="N911" s="1" t="s">
        <v>36</v>
      </c>
      <c r="O911" s="2">
        <v>1</v>
      </c>
      <c r="P911" s="3">
        <f t="shared" si="28"/>
        <v>134.25</v>
      </c>
      <c r="Q911" s="3" t="str">
        <f t="shared" si="29"/>
        <v>7853355179</v>
      </c>
    </row>
    <row r="912" spans="1:18" hidden="1">
      <c r="A912" t="s">
        <v>29</v>
      </c>
      <c r="B912" s="1" t="s">
        <v>1159</v>
      </c>
      <c r="C912" s="1" t="s">
        <v>69</v>
      </c>
      <c r="D912" s="1" t="s">
        <v>1811</v>
      </c>
      <c r="E912" s="1" t="s">
        <v>584</v>
      </c>
      <c r="F912" s="1" t="s">
        <v>585</v>
      </c>
      <c r="G912" s="1" t="s">
        <v>752</v>
      </c>
      <c r="H912" s="1" t="s">
        <v>1804</v>
      </c>
      <c r="I912" s="1">
        <v>-9</v>
      </c>
      <c r="J912" s="2">
        <v>189.9</v>
      </c>
      <c r="K912" s="2">
        <v>189.9</v>
      </c>
      <c r="L912" s="2">
        <v>189.9</v>
      </c>
      <c r="M912" s="2">
        <v>189.9</v>
      </c>
      <c r="N912" s="1" t="s">
        <v>36</v>
      </c>
      <c r="O912" s="2">
        <v>1</v>
      </c>
      <c r="P912" s="3">
        <f t="shared" si="28"/>
        <v>142.42500000000001</v>
      </c>
      <c r="Q912" s="3" t="str">
        <f t="shared" si="29"/>
        <v>7852836189.9</v>
      </c>
    </row>
    <row r="913" spans="1:18" hidden="1">
      <c r="A913" t="s">
        <v>29</v>
      </c>
      <c r="B913" s="1" t="s">
        <v>1159</v>
      </c>
      <c r="C913" s="1" t="s">
        <v>69</v>
      </c>
      <c r="D913" s="1" t="s">
        <v>1812</v>
      </c>
      <c r="E913" s="1" t="s">
        <v>334</v>
      </c>
      <c r="F913" s="1" t="s">
        <v>335</v>
      </c>
      <c r="G913" s="1" t="s">
        <v>1813</v>
      </c>
      <c r="H913" s="1" t="s">
        <v>1804</v>
      </c>
      <c r="I913" s="1">
        <v>-9</v>
      </c>
      <c r="J913" s="2">
        <v>372.79</v>
      </c>
      <c r="K913" s="2">
        <v>372.78621177000002</v>
      </c>
      <c r="L913" s="2">
        <v>272.49</v>
      </c>
      <c r="M913" s="2">
        <v>272.49</v>
      </c>
      <c r="N913" s="1" t="s">
        <v>45</v>
      </c>
      <c r="O913" s="2">
        <v>1.3680730000000001</v>
      </c>
      <c r="P913" s="3">
        <f t="shared" si="28"/>
        <v>272.49</v>
      </c>
      <c r="Q913" s="3" t="str">
        <f t="shared" si="29"/>
        <v>2908520939272.49</v>
      </c>
      <c r="R913" t="s">
        <v>91</v>
      </c>
    </row>
    <row r="914" spans="1:18" hidden="1">
      <c r="A914" t="s">
        <v>29</v>
      </c>
      <c r="B914" s="1" t="s">
        <v>1159</v>
      </c>
      <c r="C914" s="1" t="s">
        <v>69</v>
      </c>
      <c r="D914" s="1" t="s">
        <v>1814</v>
      </c>
      <c r="E914" s="1" t="s">
        <v>334</v>
      </c>
      <c r="F914" s="1" t="s">
        <v>335</v>
      </c>
      <c r="G914" s="1" t="s">
        <v>1675</v>
      </c>
      <c r="H914" s="1" t="s">
        <v>1804</v>
      </c>
      <c r="I914" s="1">
        <v>-9</v>
      </c>
      <c r="J914" s="2">
        <v>8455.5300000000007</v>
      </c>
      <c r="K914" s="2">
        <v>8455.5256645299996</v>
      </c>
      <c r="L914" s="2">
        <v>6180.61</v>
      </c>
      <c r="M914" s="2">
        <v>6180.61</v>
      </c>
      <c r="N914" s="1" t="s">
        <v>45</v>
      </c>
      <c r="O914" s="2">
        <v>1.3680730000000001</v>
      </c>
      <c r="P914" s="3">
        <f t="shared" si="28"/>
        <v>6180.61</v>
      </c>
      <c r="Q914" s="3" t="str">
        <f t="shared" si="29"/>
        <v>29085211026180.61</v>
      </c>
      <c r="R914" t="s">
        <v>91</v>
      </c>
    </row>
    <row r="915" spans="1:18" hidden="1">
      <c r="A915" t="s">
        <v>29</v>
      </c>
      <c r="B915" s="1" t="s">
        <v>1159</v>
      </c>
      <c r="C915" s="1" t="s">
        <v>69</v>
      </c>
      <c r="D915" s="1" t="s">
        <v>1815</v>
      </c>
      <c r="E915" s="1" t="s">
        <v>334</v>
      </c>
      <c r="F915" s="1" t="s">
        <v>335</v>
      </c>
      <c r="G915" s="1" t="s">
        <v>1675</v>
      </c>
      <c r="H915" s="1" t="s">
        <v>1804</v>
      </c>
      <c r="I915" s="1">
        <v>-9</v>
      </c>
      <c r="J915" s="2">
        <v>14657.14</v>
      </c>
      <c r="K915" s="2">
        <v>14657.13738083</v>
      </c>
      <c r="L915" s="2">
        <v>10713.71</v>
      </c>
      <c r="M915" s="2">
        <v>10713.71</v>
      </c>
      <c r="N915" s="1" t="s">
        <v>45</v>
      </c>
      <c r="O915" s="2">
        <v>1.3680730000000001</v>
      </c>
      <c r="P915" s="3">
        <f t="shared" si="28"/>
        <v>10713.71</v>
      </c>
      <c r="Q915" s="3" t="str">
        <f t="shared" si="29"/>
        <v>290852244310713.71</v>
      </c>
      <c r="R915" t="s">
        <v>91</v>
      </c>
    </row>
    <row r="916" spans="1:18" hidden="1">
      <c r="A916" t="s">
        <v>29</v>
      </c>
      <c r="B916" s="1" t="s">
        <v>1159</v>
      </c>
      <c r="C916" s="1" t="s">
        <v>69</v>
      </c>
      <c r="D916" s="1" t="s">
        <v>1816</v>
      </c>
      <c r="E916" s="1" t="s">
        <v>334</v>
      </c>
      <c r="F916" s="1" t="s">
        <v>335</v>
      </c>
      <c r="G916" s="1" t="s">
        <v>1817</v>
      </c>
      <c r="H916" s="1" t="s">
        <v>1804</v>
      </c>
      <c r="I916" s="1">
        <v>-9</v>
      </c>
      <c r="J916" s="2">
        <v>625.22</v>
      </c>
      <c r="K916" s="2">
        <v>625.22304172999998</v>
      </c>
      <c r="L916" s="2">
        <v>457.01</v>
      </c>
      <c r="M916" s="2">
        <v>457.01</v>
      </c>
      <c r="N916" s="1" t="s">
        <v>45</v>
      </c>
      <c r="O916" s="2">
        <v>1.3680730000000001</v>
      </c>
      <c r="P916" s="3">
        <f t="shared" si="28"/>
        <v>457.01</v>
      </c>
      <c r="Q916" s="3" t="str">
        <f t="shared" si="29"/>
        <v>2908522827457.01</v>
      </c>
      <c r="R916" t="s">
        <v>91</v>
      </c>
    </row>
    <row r="917" spans="1:18" hidden="1">
      <c r="A917" t="s">
        <v>29</v>
      </c>
      <c r="B917" s="1" t="s">
        <v>1159</v>
      </c>
      <c r="C917" s="1" t="s">
        <v>69</v>
      </c>
      <c r="D917" s="1" t="s">
        <v>1818</v>
      </c>
      <c r="E917" s="1" t="s">
        <v>334</v>
      </c>
      <c r="F917" s="1" t="s">
        <v>335</v>
      </c>
      <c r="G917" s="1" t="s">
        <v>1819</v>
      </c>
      <c r="H917" s="1" t="s">
        <v>1804</v>
      </c>
      <c r="I917" s="1">
        <v>-9</v>
      </c>
      <c r="J917" s="2">
        <v>3.97</v>
      </c>
      <c r="K917" s="2">
        <v>3.9674117</v>
      </c>
      <c r="L917" s="2">
        <v>2.9</v>
      </c>
      <c r="M917" s="2">
        <v>2.9</v>
      </c>
      <c r="N917" s="1" t="s">
        <v>45</v>
      </c>
      <c r="O917" s="2">
        <v>1.3680730000000001</v>
      </c>
      <c r="P917" s="3">
        <f t="shared" si="28"/>
        <v>2.9</v>
      </c>
      <c r="Q917" s="3" t="str">
        <f t="shared" si="29"/>
        <v>29085228292.9</v>
      </c>
      <c r="R917" t="s">
        <v>91</v>
      </c>
    </row>
    <row r="918" spans="1:18" hidden="1">
      <c r="A918" t="s">
        <v>29</v>
      </c>
      <c r="B918" s="1" t="s">
        <v>1506</v>
      </c>
      <c r="C918" s="1" t="s">
        <v>69</v>
      </c>
      <c r="D918" s="1" t="s">
        <v>1820</v>
      </c>
      <c r="E918" s="1" t="s">
        <v>156</v>
      </c>
      <c r="F918" s="1"/>
      <c r="G918" s="1" t="s">
        <v>1821</v>
      </c>
      <c r="H918" s="1" t="s">
        <v>1804</v>
      </c>
      <c r="I918" s="1">
        <v>-9</v>
      </c>
      <c r="J918" s="2">
        <v>1248.95</v>
      </c>
      <c r="K918" s="2">
        <v>1248.95</v>
      </c>
      <c r="L918" s="2">
        <v>1248.95</v>
      </c>
      <c r="M918" s="2">
        <v>1248.95</v>
      </c>
      <c r="N918" s="1" t="s">
        <v>36</v>
      </c>
      <c r="O918" s="2">
        <v>1</v>
      </c>
      <c r="P918" s="3">
        <f t="shared" si="28"/>
        <v>936.71250000000009</v>
      </c>
      <c r="Q918" s="3" t="str">
        <f t="shared" si="29"/>
        <v>2-707-362381248.95</v>
      </c>
    </row>
    <row r="919" spans="1:18" hidden="1">
      <c r="A919" t="s">
        <v>29</v>
      </c>
      <c r="B919" s="1" t="s">
        <v>1169</v>
      </c>
      <c r="C919" s="1" t="s">
        <v>69</v>
      </c>
      <c r="D919" s="1" t="s">
        <v>1822</v>
      </c>
      <c r="E919" s="1" t="s">
        <v>584</v>
      </c>
      <c r="F919" s="1" t="s">
        <v>585</v>
      </c>
      <c r="G919" s="1" t="s">
        <v>752</v>
      </c>
      <c r="H919" s="1" t="s">
        <v>1823</v>
      </c>
      <c r="I919" s="1">
        <v>-10</v>
      </c>
      <c r="J919" s="2">
        <v>179</v>
      </c>
      <c r="K919" s="2">
        <v>179</v>
      </c>
      <c r="L919" s="2">
        <v>179</v>
      </c>
      <c r="M919" s="2">
        <v>179</v>
      </c>
      <c r="N919" s="1" t="s">
        <v>36</v>
      </c>
      <c r="O919" s="2">
        <v>1</v>
      </c>
      <c r="P919" s="3">
        <f t="shared" si="28"/>
        <v>134.25</v>
      </c>
      <c r="Q919" s="3" t="str">
        <f t="shared" si="29"/>
        <v>7856086179</v>
      </c>
    </row>
    <row r="920" spans="1:18" hidden="1">
      <c r="A920" t="s">
        <v>29</v>
      </c>
      <c r="B920" s="1" t="s">
        <v>1169</v>
      </c>
      <c r="C920" s="1" t="s">
        <v>69</v>
      </c>
      <c r="D920" s="1" t="s">
        <v>1824</v>
      </c>
      <c r="E920" s="1" t="s">
        <v>584</v>
      </c>
      <c r="F920" s="1" t="s">
        <v>585</v>
      </c>
      <c r="G920" s="1" t="s">
        <v>752</v>
      </c>
      <c r="H920" s="1" t="s">
        <v>1823</v>
      </c>
      <c r="I920" s="1">
        <v>-10</v>
      </c>
      <c r="J920" s="2">
        <v>106.56</v>
      </c>
      <c r="K920" s="2">
        <v>106.56</v>
      </c>
      <c r="L920" s="2">
        <v>106.56</v>
      </c>
      <c r="M920" s="2">
        <v>106.56</v>
      </c>
      <c r="N920" s="1" t="s">
        <v>36</v>
      </c>
      <c r="O920" s="2">
        <v>1</v>
      </c>
      <c r="P920" s="3">
        <f t="shared" si="28"/>
        <v>79.92</v>
      </c>
      <c r="Q920" s="3" t="str">
        <f t="shared" si="29"/>
        <v>7855994106.56</v>
      </c>
    </row>
    <row r="921" spans="1:18" hidden="1">
      <c r="A921" t="s">
        <v>29</v>
      </c>
      <c r="B921" s="1" t="s">
        <v>1169</v>
      </c>
      <c r="C921" s="1" t="s">
        <v>69</v>
      </c>
      <c r="D921" s="1" t="s">
        <v>1825</v>
      </c>
      <c r="E921" s="1" t="s">
        <v>584</v>
      </c>
      <c r="F921" s="1" t="s">
        <v>585</v>
      </c>
      <c r="G921" s="1" t="s">
        <v>752</v>
      </c>
      <c r="H921" s="1" t="s">
        <v>1823</v>
      </c>
      <c r="I921" s="1">
        <v>-10</v>
      </c>
      <c r="J921" s="2">
        <v>97.41</v>
      </c>
      <c r="K921" s="2">
        <v>97.41</v>
      </c>
      <c r="L921" s="2">
        <v>97.41</v>
      </c>
      <c r="M921" s="2">
        <v>97.41</v>
      </c>
      <c r="N921" s="1" t="s">
        <v>36</v>
      </c>
      <c r="O921" s="2">
        <v>1</v>
      </c>
      <c r="P921" s="3">
        <f t="shared" si="28"/>
        <v>73.057500000000005</v>
      </c>
      <c r="Q921" s="3" t="str">
        <f t="shared" si="29"/>
        <v>785647997.41</v>
      </c>
    </row>
    <row r="922" spans="1:18" hidden="1">
      <c r="A922" t="s">
        <v>29</v>
      </c>
      <c r="B922" s="1" t="s">
        <v>1169</v>
      </c>
      <c r="C922" s="1" t="s">
        <v>69</v>
      </c>
      <c r="D922" s="1" t="s">
        <v>1826</v>
      </c>
      <c r="E922" s="1" t="s">
        <v>801</v>
      </c>
      <c r="F922" s="1" t="s">
        <v>802</v>
      </c>
      <c r="G922" s="1" t="s">
        <v>1827</v>
      </c>
      <c r="H922" s="1" t="s">
        <v>1823</v>
      </c>
      <c r="I922" s="1">
        <v>-10</v>
      </c>
      <c r="J922" s="2">
        <v>805.58</v>
      </c>
      <c r="K922" s="2">
        <v>805.58001200000001</v>
      </c>
      <c r="L922" s="2">
        <v>589</v>
      </c>
      <c r="M922" s="2">
        <v>589</v>
      </c>
      <c r="N922" s="1" t="s">
        <v>45</v>
      </c>
      <c r="O922" s="2">
        <v>1.3677079999999999</v>
      </c>
      <c r="P922" s="3">
        <f t="shared" si="28"/>
        <v>589</v>
      </c>
      <c r="Q922" s="3" t="str">
        <f t="shared" si="29"/>
        <v>10541582589</v>
      </c>
      <c r="R922" t="s">
        <v>331</v>
      </c>
    </row>
    <row r="923" spans="1:18" hidden="1">
      <c r="A923" t="s">
        <v>29</v>
      </c>
      <c r="B923" s="1" t="s">
        <v>1169</v>
      </c>
      <c r="C923" s="1" t="s">
        <v>69</v>
      </c>
      <c r="D923" s="1" t="s">
        <v>1828</v>
      </c>
      <c r="E923" s="1" t="s">
        <v>334</v>
      </c>
      <c r="F923" s="1" t="s">
        <v>335</v>
      </c>
      <c r="G923" s="1" t="s">
        <v>1829</v>
      </c>
      <c r="H923" s="1" t="s">
        <v>1823</v>
      </c>
      <c r="I923" s="1">
        <v>-10</v>
      </c>
      <c r="J923" s="2">
        <v>9455.33</v>
      </c>
      <c r="K923" s="2">
        <v>9455.3346851599999</v>
      </c>
      <c r="L923" s="2">
        <v>6913.27</v>
      </c>
      <c r="M923" s="2">
        <v>6913.27</v>
      </c>
      <c r="N923" s="1" t="s">
        <v>45</v>
      </c>
      <c r="O923" s="2">
        <v>1.3677079999999999</v>
      </c>
      <c r="P923" s="3">
        <f t="shared" si="28"/>
        <v>6913.27</v>
      </c>
      <c r="Q923" s="3" t="str">
        <f t="shared" si="29"/>
        <v>29085239146913.27</v>
      </c>
      <c r="R923" t="s">
        <v>91</v>
      </c>
    </row>
    <row r="924" spans="1:18" hidden="1">
      <c r="A924" t="s">
        <v>29</v>
      </c>
      <c r="B924" s="1" t="s">
        <v>1169</v>
      </c>
      <c r="C924" s="1" t="s">
        <v>69</v>
      </c>
      <c r="D924" s="1" t="s">
        <v>1830</v>
      </c>
      <c r="E924" s="1" t="s">
        <v>334</v>
      </c>
      <c r="F924" s="1" t="s">
        <v>335</v>
      </c>
      <c r="G924" s="1" t="s">
        <v>1829</v>
      </c>
      <c r="H924" s="1" t="s">
        <v>1823</v>
      </c>
      <c r="I924" s="1">
        <v>-10</v>
      </c>
      <c r="J924" s="2">
        <v>4053.12</v>
      </c>
      <c r="K924" s="2">
        <v>4053.1205955199998</v>
      </c>
      <c r="L924" s="2">
        <v>2963.44</v>
      </c>
      <c r="M924" s="2">
        <v>2963.44</v>
      </c>
      <c r="N924" s="1" t="s">
        <v>45</v>
      </c>
      <c r="O924" s="2">
        <v>1.3677079999999999</v>
      </c>
      <c r="P924" s="3">
        <f t="shared" si="28"/>
        <v>2963.44</v>
      </c>
      <c r="Q924" s="3" t="str">
        <f t="shared" si="29"/>
        <v>29085258732963.44</v>
      </c>
      <c r="R924" t="s">
        <v>91</v>
      </c>
    </row>
    <row r="925" spans="1:18" hidden="1">
      <c r="A925" t="s">
        <v>29</v>
      </c>
      <c r="B925" s="1" t="s">
        <v>1169</v>
      </c>
      <c r="C925" s="1" t="s">
        <v>69</v>
      </c>
      <c r="D925" s="1" t="s">
        <v>1831</v>
      </c>
      <c r="E925" s="1" t="s">
        <v>334</v>
      </c>
      <c r="F925" s="1" t="s">
        <v>335</v>
      </c>
      <c r="G925" s="1" t="s">
        <v>1829</v>
      </c>
      <c r="H925" s="1" t="s">
        <v>1823</v>
      </c>
      <c r="I925" s="1">
        <v>-10</v>
      </c>
      <c r="J925" s="2">
        <v>6434.46</v>
      </c>
      <c r="K925" s="2">
        <v>6434.4643484799999</v>
      </c>
      <c r="L925" s="2">
        <v>4704.5600000000004</v>
      </c>
      <c r="M925" s="2">
        <v>4704.5600000000004</v>
      </c>
      <c r="N925" s="1" t="s">
        <v>45</v>
      </c>
      <c r="O925" s="2">
        <v>1.3677079999999999</v>
      </c>
      <c r="P925" s="3">
        <f t="shared" si="28"/>
        <v>4704.5600000000004</v>
      </c>
      <c r="Q925" s="3" t="str">
        <f t="shared" si="29"/>
        <v>29085262524704.56</v>
      </c>
      <c r="R925" t="s">
        <v>91</v>
      </c>
    </row>
    <row r="926" spans="1:18" hidden="1">
      <c r="A926" t="s">
        <v>29</v>
      </c>
      <c r="B926" s="1" t="s">
        <v>1562</v>
      </c>
      <c r="C926" s="1" t="s">
        <v>69</v>
      </c>
      <c r="D926" s="1" t="s">
        <v>1832</v>
      </c>
      <c r="E926" s="1" t="s">
        <v>1833</v>
      </c>
      <c r="F926" s="1"/>
      <c r="G926" s="1" t="s">
        <v>1834</v>
      </c>
      <c r="H926" s="1" t="s">
        <v>1823</v>
      </c>
      <c r="I926" s="1">
        <v>-10</v>
      </c>
      <c r="J926" s="2">
        <v>67676.61</v>
      </c>
      <c r="K926" s="2">
        <v>67676.608999999997</v>
      </c>
      <c r="L926" s="2">
        <v>48620</v>
      </c>
      <c r="M926" s="2">
        <v>48620</v>
      </c>
      <c r="N926" s="1" t="s">
        <v>45</v>
      </c>
      <c r="O926" s="2">
        <v>1.39195</v>
      </c>
      <c r="P926" s="3">
        <f t="shared" si="28"/>
        <v>48620</v>
      </c>
      <c r="Q926" s="3" t="str">
        <f t="shared" si="29"/>
        <v>FS20260109003548620</v>
      </c>
    </row>
    <row r="927" spans="1:18" hidden="1">
      <c r="A927" t="s">
        <v>29</v>
      </c>
      <c r="B927" s="1" t="s">
        <v>1205</v>
      </c>
      <c r="C927" s="1" t="s">
        <v>69</v>
      </c>
      <c r="D927" s="1" t="s">
        <v>1835</v>
      </c>
      <c r="E927" s="1" t="s">
        <v>334</v>
      </c>
      <c r="F927" s="1" t="s">
        <v>335</v>
      </c>
      <c r="G927" s="1" t="s">
        <v>1769</v>
      </c>
      <c r="H927" s="1" t="s">
        <v>1836</v>
      </c>
      <c r="I927" s="1">
        <v>-11</v>
      </c>
      <c r="J927" s="2">
        <v>1034.94</v>
      </c>
      <c r="K927" s="2">
        <v>1034.9377035</v>
      </c>
      <c r="L927" s="2">
        <v>756.55</v>
      </c>
      <c r="M927" s="2">
        <v>756.55</v>
      </c>
      <c r="N927" s="1" t="s">
        <v>45</v>
      </c>
      <c r="O927" s="2">
        <v>1.3679699999999999</v>
      </c>
      <c r="P927" s="3">
        <f t="shared" si="28"/>
        <v>756.55</v>
      </c>
      <c r="Q927" s="3" t="str">
        <f t="shared" si="29"/>
        <v>2908527137756.55</v>
      </c>
      <c r="R927" t="s">
        <v>91</v>
      </c>
    </row>
    <row r="928" spans="1:18" hidden="1">
      <c r="A928" t="s">
        <v>29</v>
      </c>
      <c r="B928" s="1" t="s">
        <v>1205</v>
      </c>
      <c r="C928" s="1" t="s">
        <v>69</v>
      </c>
      <c r="D928" s="1" t="s">
        <v>1837</v>
      </c>
      <c r="E928" s="1" t="s">
        <v>334</v>
      </c>
      <c r="F928" s="1" t="s">
        <v>335</v>
      </c>
      <c r="G928" s="1" t="s">
        <v>1677</v>
      </c>
      <c r="H928" s="1" t="s">
        <v>1836</v>
      </c>
      <c r="I928" s="1">
        <v>-11</v>
      </c>
      <c r="J928" s="2">
        <v>9071.01</v>
      </c>
      <c r="K928" s="2">
        <v>9071.0090700000001</v>
      </c>
      <c r="L928" s="2">
        <v>6631</v>
      </c>
      <c r="M928" s="2">
        <v>6631</v>
      </c>
      <c r="N928" s="1" t="s">
        <v>45</v>
      </c>
      <c r="O928" s="2">
        <v>1.3679699999999999</v>
      </c>
      <c r="P928" s="3">
        <f t="shared" si="28"/>
        <v>6631</v>
      </c>
      <c r="Q928" s="3" t="str">
        <f t="shared" si="29"/>
        <v>29085283436631</v>
      </c>
      <c r="R928" t="s">
        <v>91</v>
      </c>
    </row>
    <row r="929" spans="1:18" hidden="1">
      <c r="A929" t="s">
        <v>29</v>
      </c>
      <c r="B929" s="1" t="s">
        <v>1205</v>
      </c>
      <c r="C929" s="1" t="s">
        <v>69</v>
      </c>
      <c r="D929" s="1" t="s">
        <v>1838</v>
      </c>
      <c r="E929" s="1" t="s">
        <v>334</v>
      </c>
      <c r="F929" s="1" t="s">
        <v>335</v>
      </c>
      <c r="G929" s="1" t="s">
        <v>1752</v>
      </c>
      <c r="H929" s="1" t="s">
        <v>1836</v>
      </c>
      <c r="I929" s="1">
        <v>-11</v>
      </c>
      <c r="J929" s="2">
        <v>18423</v>
      </c>
      <c r="K929" s="2">
        <v>18422.999177999998</v>
      </c>
      <c r="L929" s="2">
        <v>13467.4</v>
      </c>
      <c r="M929" s="2">
        <v>13467.4</v>
      </c>
      <c r="N929" s="1" t="s">
        <v>45</v>
      </c>
      <c r="O929" s="2">
        <v>1.3679699999999999</v>
      </c>
      <c r="P929" s="3">
        <f t="shared" si="28"/>
        <v>13467.4</v>
      </c>
      <c r="Q929" s="3" t="str">
        <f t="shared" si="29"/>
        <v>290852870513467.4</v>
      </c>
      <c r="R929" t="s">
        <v>91</v>
      </c>
    </row>
    <row r="930" spans="1:18" hidden="1">
      <c r="A930" t="s">
        <v>29</v>
      </c>
      <c r="B930" s="1" t="s">
        <v>1236</v>
      </c>
      <c r="C930" s="1" t="s">
        <v>69</v>
      </c>
      <c r="D930" s="1" t="s">
        <v>1839</v>
      </c>
      <c r="E930" s="1" t="s">
        <v>334</v>
      </c>
      <c r="F930" s="1" t="s">
        <v>335</v>
      </c>
      <c r="G930" s="1" t="s">
        <v>1752</v>
      </c>
      <c r="H930" s="1" t="s">
        <v>1840</v>
      </c>
      <c r="I930" s="1">
        <v>-12</v>
      </c>
      <c r="J930" s="2">
        <v>6265.29</v>
      </c>
      <c r="K930" s="2">
        <v>6265.2851625000003</v>
      </c>
      <c r="L930" s="2">
        <v>4579.05</v>
      </c>
      <c r="M930" s="2">
        <v>4579.05</v>
      </c>
      <c r="N930" s="1" t="s">
        <v>45</v>
      </c>
      <c r="O930" s="2">
        <v>1.36825</v>
      </c>
      <c r="P930" s="3">
        <f t="shared" si="28"/>
        <v>4579.05</v>
      </c>
      <c r="Q930" s="3" t="str">
        <f t="shared" si="29"/>
        <v>29085292754579.05</v>
      </c>
      <c r="R930" t="s">
        <v>91</v>
      </c>
    </row>
    <row r="931" spans="1:18" hidden="1">
      <c r="A931" t="s">
        <v>29</v>
      </c>
      <c r="B931" s="1" t="s">
        <v>1236</v>
      </c>
      <c r="C931" s="1" t="s">
        <v>69</v>
      </c>
      <c r="D931" s="1" t="s">
        <v>1841</v>
      </c>
      <c r="E931" s="1" t="s">
        <v>334</v>
      </c>
      <c r="F931" s="1" t="s">
        <v>335</v>
      </c>
      <c r="G931" s="1" t="s">
        <v>1752</v>
      </c>
      <c r="H931" s="1" t="s">
        <v>1840</v>
      </c>
      <c r="I931" s="1">
        <v>-12</v>
      </c>
      <c r="J931" s="2">
        <v>3861.01</v>
      </c>
      <c r="K931" s="2">
        <v>3861.0099449999998</v>
      </c>
      <c r="L931" s="2">
        <v>2821.86</v>
      </c>
      <c r="M931" s="2">
        <v>2821.86</v>
      </c>
      <c r="N931" s="1" t="s">
        <v>45</v>
      </c>
      <c r="O931" s="2">
        <v>1.36825</v>
      </c>
      <c r="P931" s="3">
        <f t="shared" si="28"/>
        <v>2821.86</v>
      </c>
      <c r="Q931" s="3" t="str">
        <f t="shared" si="29"/>
        <v>29085313112821.86</v>
      </c>
      <c r="R931" t="s">
        <v>91</v>
      </c>
    </row>
    <row r="932" spans="1:18" hidden="1">
      <c r="A932" t="s">
        <v>29</v>
      </c>
      <c r="B932" s="1" t="s">
        <v>1266</v>
      </c>
      <c r="C932" s="1" t="s">
        <v>69</v>
      </c>
      <c r="D932" s="1" t="s">
        <v>1842</v>
      </c>
      <c r="E932" s="1" t="s">
        <v>334</v>
      </c>
      <c r="F932" s="1" t="s">
        <v>335</v>
      </c>
      <c r="G932" s="1" t="s">
        <v>1752</v>
      </c>
      <c r="H932" s="1" t="s">
        <v>1843</v>
      </c>
      <c r="I932" s="1">
        <v>-13</v>
      </c>
      <c r="J932" s="2">
        <v>160.24</v>
      </c>
      <c r="K932" s="2">
        <v>160.23575750000001</v>
      </c>
      <c r="L932" s="2">
        <v>117.11</v>
      </c>
      <c r="M932" s="2">
        <v>117.11</v>
      </c>
      <c r="N932" s="1" t="s">
        <v>45</v>
      </c>
      <c r="O932" s="2">
        <v>1.36825</v>
      </c>
      <c r="P932" s="3">
        <f t="shared" si="28"/>
        <v>117.11</v>
      </c>
      <c r="Q932" s="3" t="str">
        <f t="shared" si="29"/>
        <v>2908532389117.11</v>
      </c>
      <c r="R932" t="s">
        <v>91</v>
      </c>
    </row>
    <row r="933" spans="1:18" hidden="1">
      <c r="A933" t="s">
        <v>29</v>
      </c>
      <c r="B933" s="1" t="s">
        <v>1266</v>
      </c>
      <c r="C933" s="1" t="s">
        <v>69</v>
      </c>
      <c r="D933" s="1" t="s">
        <v>1844</v>
      </c>
      <c r="E933" s="1" t="s">
        <v>334</v>
      </c>
      <c r="F933" s="1" t="s">
        <v>335</v>
      </c>
      <c r="G933" s="1" t="s">
        <v>1845</v>
      </c>
      <c r="H933" s="1" t="s">
        <v>1843</v>
      </c>
      <c r="I933" s="1">
        <v>-13</v>
      </c>
      <c r="J933" s="2">
        <v>2985.84</v>
      </c>
      <c r="K933" s="2">
        <v>2985.8361974999998</v>
      </c>
      <c r="L933" s="2">
        <v>2182.23</v>
      </c>
      <c r="M933" s="2">
        <v>2182.23</v>
      </c>
      <c r="N933" s="1" t="s">
        <v>45</v>
      </c>
      <c r="O933" s="2">
        <v>1.36825</v>
      </c>
      <c r="P933" s="3">
        <f t="shared" si="28"/>
        <v>2182.23</v>
      </c>
      <c r="Q933" s="3" t="str">
        <f t="shared" si="29"/>
        <v>29085333002182.23</v>
      </c>
      <c r="R933" t="s">
        <v>91</v>
      </c>
    </row>
    <row r="934" spans="1:18" hidden="1">
      <c r="A934" t="s">
        <v>29</v>
      </c>
      <c r="B934" s="1" t="s">
        <v>1266</v>
      </c>
      <c r="C934" s="1" t="s">
        <v>69</v>
      </c>
      <c r="D934" s="1" t="s">
        <v>1846</v>
      </c>
      <c r="E934" s="1" t="s">
        <v>334</v>
      </c>
      <c r="F934" s="1" t="s">
        <v>335</v>
      </c>
      <c r="G934" s="1" t="s">
        <v>1769</v>
      </c>
      <c r="H934" s="1" t="s">
        <v>1843</v>
      </c>
      <c r="I934" s="1">
        <v>-13</v>
      </c>
      <c r="J934" s="2">
        <v>6143.89</v>
      </c>
      <c r="K934" s="2">
        <v>6143.8940224999997</v>
      </c>
      <c r="L934" s="2">
        <v>4490.33</v>
      </c>
      <c r="M934" s="2">
        <v>4490.33</v>
      </c>
      <c r="N934" s="1" t="s">
        <v>45</v>
      </c>
      <c r="O934" s="2">
        <v>1.36825</v>
      </c>
      <c r="P934" s="3">
        <f t="shared" si="28"/>
        <v>4490.33</v>
      </c>
      <c r="Q934" s="3" t="str">
        <f t="shared" si="29"/>
        <v>29085336184490.33</v>
      </c>
      <c r="R934" t="s">
        <v>91</v>
      </c>
    </row>
    <row r="935" spans="1:18" hidden="1">
      <c r="A935" t="s">
        <v>29</v>
      </c>
      <c r="B935" s="1" t="s">
        <v>1617</v>
      </c>
      <c r="C935" s="1" t="s">
        <v>69</v>
      </c>
      <c r="D935" s="1" t="s">
        <v>1847</v>
      </c>
      <c r="E935" s="1" t="s">
        <v>1198</v>
      </c>
      <c r="F935" s="1"/>
      <c r="G935" s="1" t="s">
        <v>1200</v>
      </c>
      <c r="H935" s="1" t="s">
        <v>1843</v>
      </c>
      <c r="I935" s="1">
        <v>-13</v>
      </c>
      <c r="J935" s="2">
        <v>4064.79</v>
      </c>
      <c r="K935" s="2">
        <v>4064.79</v>
      </c>
      <c r="L935" s="2">
        <v>4064.79</v>
      </c>
      <c r="M935" s="2">
        <v>4064.79</v>
      </c>
      <c r="N935" s="1" t="s">
        <v>36</v>
      </c>
      <c r="O935" s="2">
        <v>1</v>
      </c>
      <c r="P935" s="3">
        <f t="shared" si="28"/>
        <v>3048.5924999999997</v>
      </c>
      <c r="Q935" s="3" t="str">
        <f t="shared" si="29"/>
        <v>YHMIDR00175204064.79</v>
      </c>
    </row>
    <row r="936" spans="1:18" hidden="1">
      <c r="A936" t="s">
        <v>29</v>
      </c>
      <c r="B936" s="1" t="s">
        <v>281</v>
      </c>
      <c r="C936" s="1" t="s">
        <v>69</v>
      </c>
      <c r="D936" s="1" t="s">
        <v>1848</v>
      </c>
      <c r="E936" s="1" t="s">
        <v>1849</v>
      </c>
      <c r="F936" s="1" t="s">
        <v>1850</v>
      </c>
      <c r="G936" s="1" t="s">
        <v>1851</v>
      </c>
      <c r="H936" s="1" t="s">
        <v>1852</v>
      </c>
      <c r="I936" s="1">
        <v>-14</v>
      </c>
      <c r="J936" s="2">
        <v>3002286.95</v>
      </c>
      <c r="K936" s="2">
        <v>3002286.95021844</v>
      </c>
      <c r="L936" s="2">
        <v>2157577.9300000002</v>
      </c>
      <c r="M936" s="2">
        <v>2157577.9300000002</v>
      </c>
      <c r="N936" s="1" t="s">
        <v>45</v>
      </c>
      <c r="O936" s="2">
        <v>1.391508</v>
      </c>
      <c r="P936" s="3">
        <f t="shared" si="28"/>
        <v>2157577.9300000002</v>
      </c>
      <c r="Q936" s="3" t="str">
        <f t="shared" si="29"/>
        <v>416V00510261182157577.93</v>
      </c>
      <c r="R936" t="s">
        <v>132</v>
      </c>
    </row>
    <row r="937" spans="1:18" hidden="1">
      <c r="A937" t="s">
        <v>29</v>
      </c>
      <c r="B937" s="1" t="s">
        <v>1295</v>
      </c>
      <c r="C937" s="1" t="s">
        <v>69</v>
      </c>
      <c r="D937" s="1" t="s">
        <v>1853</v>
      </c>
      <c r="E937" s="1" t="s">
        <v>334</v>
      </c>
      <c r="F937" s="1" t="s">
        <v>335</v>
      </c>
      <c r="G937" s="1" t="s">
        <v>1752</v>
      </c>
      <c r="H937" s="1" t="s">
        <v>1852</v>
      </c>
      <c r="I937" s="1">
        <v>-14</v>
      </c>
      <c r="J937" s="2">
        <v>2295.16</v>
      </c>
      <c r="K937" s="2">
        <v>2295.1575845900002</v>
      </c>
      <c r="L937" s="2">
        <v>1680.17</v>
      </c>
      <c r="M937" s="2">
        <v>1680.17</v>
      </c>
      <c r="N937" s="1" t="s">
        <v>45</v>
      </c>
      <c r="O937" s="2">
        <v>1.3660270000000001</v>
      </c>
      <c r="P937" s="3">
        <f t="shared" si="28"/>
        <v>1680.17</v>
      </c>
      <c r="Q937" s="3" t="str">
        <f t="shared" si="29"/>
        <v>29085338241680.17</v>
      </c>
      <c r="R937" t="s">
        <v>91</v>
      </c>
    </row>
    <row r="938" spans="1:18" hidden="1">
      <c r="A938" t="s">
        <v>29</v>
      </c>
      <c r="B938" s="1" t="s">
        <v>1295</v>
      </c>
      <c r="C938" s="1" t="s">
        <v>69</v>
      </c>
      <c r="D938" s="1" t="s">
        <v>1854</v>
      </c>
      <c r="E938" s="1" t="s">
        <v>334</v>
      </c>
      <c r="F938" s="1" t="s">
        <v>335</v>
      </c>
      <c r="G938" s="1" t="s">
        <v>1677</v>
      </c>
      <c r="H938" s="1" t="s">
        <v>1852</v>
      </c>
      <c r="I938" s="1">
        <v>-14</v>
      </c>
      <c r="J938" s="2">
        <v>6793.59</v>
      </c>
      <c r="K938" s="2">
        <v>6793.5937777500003</v>
      </c>
      <c r="L938" s="2">
        <v>4973.25</v>
      </c>
      <c r="M938" s="2">
        <v>4973.25</v>
      </c>
      <c r="N938" s="1" t="s">
        <v>45</v>
      </c>
      <c r="O938" s="2">
        <v>1.3660270000000001</v>
      </c>
      <c r="P938" s="3">
        <f t="shared" si="28"/>
        <v>4973.25</v>
      </c>
      <c r="Q938" s="3" t="str">
        <f t="shared" si="29"/>
        <v>29085343134973.25</v>
      </c>
      <c r="R938" t="s">
        <v>91</v>
      </c>
    </row>
    <row r="939" spans="1:18" hidden="1">
      <c r="A939" t="s">
        <v>29</v>
      </c>
      <c r="B939" s="1" t="s">
        <v>1295</v>
      </c>
      <c r="C939" s="1" t="s">
        <v>69</v>
      </c>
      <c r="D939" s="1" t="s">
        <v>1855</v>
      </c>
      <c r="E939" s="1" t="s">
        <v>334</v>
      </c>
      <c r="F939" s="1" t="s">
        <v>335</v>
      </c>
      <c r="G939" s="1" t="s">
        <v>1677</v>
      </c>
      <c r="H939" s="1" t="s">
        <v>1852</v>
      </c>
      <c r="I939" s="1">
        <v>-14</v>
      </c>
      <c r="J939" s="2">
        <v>6793.59</v>
      </c>
      <c r="K939" s="2">
        <v>6793.5937777500003</v>
      </c>
      <c r="L939" s="2">
        <v>4973.25</v>
      </c>
      <c r="M939" s="2">
        <v>4973.25</v>
      </c>
      <c r="N939" s="1" t="s">
        <v>45</v>
      </c>
      <c r="O939" s="2">
        <v>1.3660270000000001</v>
      </c>
      <c r="P939" s="3">
        <f t="shared" si="28"/>
        <v>4973.25</v>
      </c>
      <c r="Q939" s="3" t="str">
        <f t="shared" si="29"/>
        <v>29085346004973.25</v>
      </c>
      <c r="R939" t="s">
        <v>91</v>
      </c>
    </row>
    <row r="940" spans="1:18" hidden="1">
      <c r="A940" t="s">
        <v>29</v>
      </c>
      <c r="B940" s="1" t="s">
        <v>1617</v>
      </c>
      <c r="C940" s="1" t="s">
        <v>69</v>
      </c>
      <c r="D940" s="1" t="s">
        <v>1856</v>
      </c>
      <c r="E940" s="1" t="s">
        <v>156</v>
      </c>
      <c r="F940" s="1"/>
      <c r="G940" s="1" t="s">
        <v>1051</v>
      </c>
      <c r="H940" s="1" t="s">
        <v>1852</v>
      </c>
      <c r="I940" s="1">
        <v>-14</v>
      </c>
      <c r="J940" s="2">
        <v>1032.29</v>
      </c>
      <c r="K940" s="2">
        <v>1032.29</v>
      </c>
      <c r="L940" s="2">
        <v>1032.29</v>
      </c>
      <c r="M940" s="2">
        <v>1032.29</v>
      </c>
      <c r="N940" s="1" t="s">
        <v>36</v>
      </c>
      <c r="O940" s="2">
        <v>1</v>
      </c>
      <c r="P940" s="3">
        <f t="shared" si="28"/>
        <v>774.21749999999997</v>
      </c>
      <c r="Q940" s="3" t="str">
        <f t="shared" si="29"/>
        <v>2-707-966291032.29</v>
      </c>
    </row>
    <row r="941" spans="1:18" hidden="1">
      <c r="A941" t="s">
        <v>29</v>
      </c>
      <c r="B941" s="1" t="s">
        <v>1617</v>
      </c>
      <c r="C941" s="1" t="s">
        <v>69</v>
      </c>
      <c r="D941" s="1" t="s">
        <v>1857</v>
      </c>
      <c r="E941" s="1" t="s">
        <v>156</v>
      </c>
      <c r="F941" s="1"/>
      <c r="G941" s="1" t="s">
        <v>1858</v>
      </c>
      <c r="H941" s="1" t="s">
        <v>1852</v>
      </c>
      <c r="I941" s="1">
        <v>-14</v>
      </c>
      <c r="J941" s="2">
        <v>61.96</v>
      </c>
      <c r="K941" s="2">
        <v>61.96</v>
      </c>
      <c r="L941" s="2">
        <v>61.96</v>
      </c>
      <c r="M941" s="2">
        <v>61.96</v>
      </c>
      <c r="N941" s="1" t="s">
        <v>36</v>
      </c>
      <c r="O941" s="2">
        <v>1</v>
      </c>
      <c r="P941" s="3">
        <f t="shared" si="28"/>
        <v>46.47</v>
      </c>
      <c r="Q941" s="3" t="str">
        <f t="shared" si="29"/>
        <v>2-708-1294161.96</v>
      </c>
    </row>
    <row r="942" spans="1:18" hidden="1">
      <c r="A942" t="s">
        <v>29</v>
      </c>
      <c r="B942" s="1" t="s">
        <v>1617</v>
      </c>
      <c r="C942" s="1" t="s">
        <v>69</v>
      </c>
      <c r="D942" s="1" t="s">
        <v>1859</v>
      </c>
      <c r="E942" s="1" t="s">
        <v>156</v>
      </c>
      <c r="F942" s="1"/>
      <c r="G942" s="1" t="s">
        <v>1860</v>
      </c>
      <c r="H942" s="1" t="s">
        <v>1852</v>
      </c>
      <c r="I942" s="1">
        <v>-14</v>
      </c>
      <c r="J942" s="2">
        <v>93575.46</v>
      </c>
      <c r="K942" s="2">
        <v>93575.46</v>
      </c>
      <c r="L942" s="2">
        <v>93575.46</v>
      </c>
      <c r="M942" s="2">
        <v>93575.46</v>
      </c>
      <c r="N942" s="1" t="s">
        <v>36</v>
      </c>
      <c r="O942" s="2">
        <v>1</v>
      </c>
      <c r="P942" s="3">
        <f t="shared" si="28"/>
        <v>70181.595000000001</v>
      </c>
      <c r="Q942" s="3" t="str">
        <f t="shared" si="29"/>
        <v>C48395225-0093575.46</v>
      </c>
    </row>
    <row r="943" spans="1:18" hidden="1">
      <c r="A943" t="s">
        <v>29</v>
      </c>
      <c r="B943" s="1" t="s">
        <v>1316</v>
      </c>
      <c r="C943" s="1" t="s">
        <v>69</v>
      </c>
      <c r="D943" s="1" t="s">
        <v>1861</v>
      </c>
      <c r="E943" s="1" t="s">
        <v>584</v>
      </c>
      <c r="F943" s="1" t="s">
        <v>585</v>
      </c>
      <c r="G943" s="1" t="s">
        <v>752</v>
      </c>
      <c r="H943" s="1" t="s">
        <v>1862</v>
      </c>
      <c r="I943" s="1">
        <v>-15</v>
      </c>
      <c r="J943" s="2">
        <v>97.41</v>
      </c>
      <c r="K943" s="2">
        <v>97.41</v>
      </c>
      <c r="L943" s="2">
        <v>97.41</v>
      </c>
      <c r="M943" s="2">
        <v>97.41</v>
      </c>
      <c r="N943" s="1" t="s">
        <v>36</v>
      </c>
      <c r="O943" s="2">
        <v>1</v>
      </c>
      <c r="P943" s="3">
        <f t="shared" si="28"/>
        <v>73.057500000000005</v>
      </c>
      <c r="Q943" s="3" t="str">
        <f t="shared" si="29"/>
        <v>786435697.41</v>
      </c>
      <c r="R943" t="s">
        <v>1863</v>
      </c>
    </row>
    <row r="944" spans="1:18" hidden="1">
      <c r="A944" t="s">
        <v>29</v>
      </c>
      <c r="B944" s="1" t="s">
        <v>1316</v>
      </c>
      <c r="C944" s="1" t="s">
        <v>69</v>
      </c>
      <c r="D944" s="1" t="s">
        <v>1864</v>
      </c>
      <c r="E944" s="1" t="s">
        <v>584</v>
      </c>
      <c r="F944" s="1" t="s">
        <v>585</v>
      </c>
      <c r="G944" s="1" t="s">
        <v>752</v>
      </c>
      <c r="H944" s="1" t="s">
        <v>1862</v>
      </c>
      <c r="I944" s="1">
        <v>-15</v>
      </c>
      <c r="J944" s="2">
        <v>179</v>
      </c>
      <c r="K944" s="2">
        <v>179</v>
      </c>
      <c r="L944" s="2">
        <v>179</v>
      </c>
      <c r="M944" s="2">
        <v>179</v>
      </c>
      <c r="N944" s="1" t="s">
        <v>36</v>
      </c>
      <c r="O944" s="2">
        <v>1</v>
      </c>
      <c r="P944" s="3">
        <f t="shared" si="28"/>
        <v>134.25</v>
      </c>
      <c r="Q944" s="3" t="str">
        <f t="shared" si="29"/>
        <v>7860744179</v>
      </c>
      <c r="R944" t="s">
        <v>1863</v>
      </c>
    </row>
    <row r="945" spans="1:18" hidden="1">
      <c r="A945" t="s">
        <v>29</v>
      </c>
      <c r="B945" s="1" t="s">
        <v>1316</v>
      </c>
      <c r="C945" s="1" t="s">
        <v>69</v>
      </c>
      <c r="D945" s="1" t="s">
        <v>1865</v>
      </c>
      <c r="E945" s="1" t="s">
        <v>584</v>
      </c>
      <c r="F945" s="1" t="s">
        <v>585</v>
      </c>
      <c r="G945" s="1" t="s">
        <v>752</v>
      </c>
      <c r="H945" s="1" t="s">
        <v>1862</v>
      </c>
      <c r="I945" s="1">
        <v>-15</v>
      </c>
      <c r="J945" s="2">
        <v>194.82</v>
      </c>
      <c r="K945" s="2">
        <v>194.82</v>
      </c>
      <c r="L945" s="2">
        <v>194.82</v>
      </c>
      <c r="M945" s="2">
        <v>194.82</v>
      </c>
      <c r="N945" s="1" t="s">
        <v>36</v>
      </c>
      <c r="O945" s="2">
        <v>1</v>
      </c>
      <c r="P945" s="3">
        <f t="shared" si="28"/>
        <v>146.11500000000001</v>
      </c>
      <c r="Q945" s="3" t="str">
        <f t="shared" si="29"/>
        <v>7860919194.82</v>
      </c>
      <c r="R945" t="s">
        <v>1863</v>
      </c>
    </row>
    <row r="946" spans="1:18" hidden="1">
      <c r="A946" t="s">
        <v>29</v>
      </c>
      <c r="B946" s="1" t="s">
        <v>1316</v>
      </c>
      <c r="C946" s="1" t="s">
        <v>69</v>
      </c>
      <c r="D946" s="1" t="s">
        <v>1866</v>
      </c>
      <c r="E946" s="1" t="s">
        <v>584</v>
      </c>
      <c r="F946" s="1" t="s">
        <v>585</v>
      </c>
      <c r="G946" s="1" t="s">
        <v>752</v>
      </c>
      <c r="H946" s="1" t="s">
        <v>1862</v>
      </c>
      <c r="I946" s="1">
        <v>-15</v>
      </c>
      <c r="J946" s="2">
        <v>188.15</v>
      </c>
      <c r="K946" s="2">
        <v>188.15</v>
      </c>
      <c r="L946" s="2">
        <v>188.15</v>
      </c>
      <c r="M946" s="2">
        <v>188.15</v>
      </c>
      <c r="N946" s="1" t="s">
        <v>36</v>
      </c>
      <c r="O946" s="2">
        <v>1</v>
      </c>
      <c r="P946" s="3">
        <f t="shared" si="28"/>
        <v>141.11250000000001</v>
      </c>
      <c r="Q946" s="3" t="str">
        <f t="shared" si="29"/>
        <v>7860676188.15</v>
      </c>
      <c r="R946" t="s">
        <v>1863</v>
      </c>
    </row>
    <row r="947" spans="1:18" hidden="1">
      <c r="A947" t="s">
        <v>29</v>
      </c>
      <c r="B947" s="1" t="s">
        <v>1316</v>
      </c>
      <c r="C947" s="1" t="s">
        <v>69</v>
      </c>
      <c r="D947" s="1" t="s">
        <v>1867</v>
      </c>
      <c r="E947" s="1" t="s">
        <v>334</v>
      </c>
      <c r="F947" s="1" t="s">
        <v>335</v>
      </c>
      <c r="G947" s="1" t="s">
        <v>1745</v>
      </c>
      <c r="H947" s="1" t="s">
        <v>1862</v>
      </c>
      <c r="I947" s="1">
        <v>-15</v>
      </c>
      <c r="J947" s="2">
        <v>62436.76</v>
      </c>
      <c r="K947" s="2">
        <v>62436.763152</v>
      </c>
      <c r="L947" s="2">
        <v>45616</v>
      </c>
      <c r="M947" s="2">
        <v>45616</v>
      </c>
      <c r="N947" s="1" t="s">
        <v>45</v>
      </c>
      <c r="O947" s="2">
        <v>1.3687469999999999</v>
      </c>
      <c r="P947" s="3">
        <f t="shared" si="28"/>
        <v>45616</v>
      </c>
      <c r="Q947" s="3" t="str">
        <f t="shared" si="29"/>
        <v>190983309845616</v>
      </c>
      <c r="R947" t="s">
        <v>91</v>
      </c>
    </row>
    <row r="948" spans="1:18" hidden="1">
      <c r="A948" t="s">
        <v>29</v>
      </c>
      <c r="B948" s="1" t="s">
        <v>1316</v>
      </c>
      <c r="C948" s="1" t="s">
        <v>69</v>
      </c>
      <c r="D948" s="1" t="s">
        <v>1868</v>
      </c>
      <c r="E948" s="1" t="s">
        <v>334</v>
      </c>
      <c r="F948" s="1" t="s">
        <v>335</v>
      </c>
      <c r="G948" s="1" t="s">
        <v>1745</v>
      </c>
      <c r="H948" s="1" t="s">
        <v>1862</v>
      </c>
      <c r="I948" s="1">
        <v>-15</v>
      </c>
      <c r="J948" s="2">
        <v>37448.92</v>
      </c>
      <c r="K948" s="2">
        <v>37448.91792</v>
      </c>
      <c r="L948" s="2">
        <v>27360</v>
      </c>
      <c r="M948" s="2">
        <v>27360</v>
      </c>
      <c r="N948" s="1" t="s">
        <v>45</v>
      </c>
      <c r="O948" s="2">
        <v>1.3687469999999999</v>
      </c>
      <c r="P948" s="3">
        <f t="shared" si="28"/>
        <v>27360</v>
      </c>
      <c r="Q948" s="3" t="str">
        <f t="shared" si="29"/>
        <v>190983466527360</v>
      </c>
      <c r="R948" t="s">
        <v>91</v>
      </c>
    </row>
    <row r="949" spans="1:18" hidden="1">
      <c r="A949" t="s">
        <v>29</v>
      </c>
      <c r="B949" s="1" t="s">
        <v>1316</v>
      </c>
      <c r="C949" s="1" t="s">
        <v>69</v>
      </c>
      <c r="D949" s="1" t="s">
        <v>1869</v>
      </c>
      <c r="E949" s="1" t="s">
        <v>334</v>
      </c>
      <c r="F949" s="1" t="s">
        <v>335</v>
      </c>
      <c r="G949" s="1" t="s">
        <v>1745</v>
      </c>
      <c r="H949" s="1" t="s">
        <v>1862</v>
      </c>
      <c r="I949" s="1">
        <v>-15</v>
      </c>
      <c r="J949" s="2">
        <v>71722.34</v>
      </c>
      <c r="K949" s="2">
        <v>71722.342799999999</v>
      </c>
      <c r="L949" s="2">
        <v>52400</v>
      </c>
      <c r="M949" s="2">
        <v>52400</v>
      </c>
      <c r="N949" s="1" t="s">
        <v>45</v>
      </c>
      <c r="O949" s="2">
        <v>1.3687469999999999</v>
      </c>
      <c r="P949" s="3">
        <f t="shared" si="28"/>
        <v>52400</v>
      </c>
      <c r="Q949" s="3" t="str">
        <f t="shared" si="29"/>
        <v>190983515952400</v>
      </c>
      <c r="R949" t="s">
        <v>91</v>
      </c>
    </row>
    <row r="950" spans="1:18" hidden="1">
      <c r="A950" t="s">
        <v>29</v>
      </c>
      <c r="B950" s="1" t="s">
        <v>1316</v>
      </c>
      <c r="C950" s="1" t="s">
        <v>69</v>
      </c>
      <c r="D950" s="1" t="s">
        <v>1870</v>
      </c>
      <c r="E950" s="1" t="s">
        <v>334</v>
      </c>
      <c r="F950" s="1" t="s">
        <v>335</v>
      </c>
      <c r="G950" s="1" t="s">
        <v>1871</v>
      </c>
      <c r="H950" s="1" t="s">
        <v>1862</v>
      </c>
      <c r="I950" s="1">
        <v>-15</v>
      </c>
      <c r="J950" s="2">
        <v>8734.89</v>
      </c>
      <c r="K950" s="2">
        <v>8734.8916674899992</v>
      </c>
      <c r="L950" s="2">
        <v>6381.67</v>
      </c>
      <c r="M950" s="2">
        <v>6381.67</v>
      </c>
      <c r="N950" s="1" t="s">
        <v>45</v>
      </c>
      <c r="O950" s="2">
        <v>1.3687469999999999</v>
      </c>
      <c r="P950" s="3">
        <f t="shared" si="28"/>
        <v>6381.67</v>
      </c>
      <c r="Q950" s="3" t="str">
        <f t="shared" si="29"/>
        <v>29085361586381.67</v>
      </c>
      <c r="R950" t="s">
        <v>91</v>
      </c>
    </row>
    <row r="951" spans="1:18" hidden="1">
      <c r="A951" t="s">
        <v>29</v>
      </c>
      <c r="B951" s="1" t="s">
        <v>1316</v>
      </c>
      <c r="C951" s="1" t="s">
        <v>69</v>
      </c>
      <c r="D951" s="1" t="s">
        <v>1872</v>
      </c>
      <c r="E951" s="1" t="s">
        <v>334</v>
      </c>
      <c r="F951" s="1" t="s">
        <v>335</v>
      </c>
      <c r="G951" s="1" t="s">
        <v>1757</v>
      </c>
      <c r="H951" s="1" t="s">
        <v>1862</v>
      </c>
      <c r="I951" s="1">
        <v>-15</v>
      </c>
      <c r="J951" s="2">
        <v>134.25</v>
      </c>
      <c r="K951" s="2">
        <v>134.24670576</v>
      </c>
      <c r="L951" s="2">
        <v>98.08</v>
      </c>
      <c r="M951" s="2">
        <v>98.08</v>
      </c>
      <c r="N951" s="1" t="s">
        <v>45</v>
      </c>
      <c r="O951" s="2">
        <v>1.3687469999999999</v>
      </c>
      <c r="P951" s="3">
        <f t="shared" si="28"/>
        <v>98.08</v>
      </c>
      <c r="Q951" s="3" t="str">
        <f t="shared" si="29"/>
        <v>290853673598.08</v>
      </c>
      <c r="R951" t="s">
        <v>91</v>
      </c>
    </row>
    <row r="952" spans="1:18" hidden="1">
      <c r="A952" t="s">
        <v>29</v>
      </c>
      <c r="B952" s="1" t="s">
        <v>1316</v>
      </c>
      <c r="C952" s="1" t="s">
        <v>69</v>
      </c>
      <c r="D952" s="1" t="s">
        <v>1873</v>
      </c>
      <c r="E952" s="1" t="s">
        <v>334</v>
      </c>
      <c r="F952" s="1" t="s">
        <v>335</v>
      </c>
      <c r="G952" s="1" t="s">
        <v>1757</v>
      </c>
      <c r="H952" s="1" t="s">
        <v>1862</v>
      </c>
      <c r="I952" s="1">
        <v>-15</v>
      </c>
      <c r="J952" s="2">
        <v>33.56</v>
      </c>
      <c r="K952" s="2">
        <v>33.561676439999999</v>
      </c>
      <c r="L952" s="2">
        <v>24.52</v>
      </c>
      <c r="M952" s="2">
        <v>24.52</v>
      </c>
      <c r="N952" s="1" t="s">
        <v>45</v>
      </c>
      <c r="O952" s="2">
        <v>1.3687469999999999</v>
      </c>
      <c r="P952" s="3">
        <f t="shared" si="28"/>
        <v>24.52</v>
      </c>
      <c r="Q952" s="3" t="str">
        <f t="shared" si="29"/>
        <v>290853715924.52</v>
      </c>
      <c r="R952" t="s">
        <v>91</v>
      </c>
    </row>
    <row r="953" spans="1:18" hidden="1">
      <c r="A953" t="s">
        <v>29</v>
      </c>
      <c r="B953" s="1" t="s">
        <v>1335</v>
      </c>
      <c r="C953" s="1" t="s">
        <v>69</v>
      </c>
      <c r="D953" s="1" t="s">
        <v>1874</v>
      </c>
      <c r="E953" s="1" t="s">
        <v>616</v>
      </c>
      <c r="F953" s="1" t="s">
        <v>222</v>
      </c>
      <c r="G953" s="1" t="s">
        <v>1875</v>
      </c>
      <c r="H953" s="1" t="s">
        <v>1876</v>
      </c>
      <c r="I953" s="1">
        <v>-16</v>
      </c>
      <c r="J953" s="2">
        <v>1875</v>
      </c>
      <c r="K953" s="2">
        <v>1875</v>
      </c>
      <c r="L953" s="2">
        <v>1875</v>
      </c>
      <c r="M953" s="2">
        <v>1875</v>
      </c>
      <c r="N953" s="1" t="s">
        <v>36</v>
      </c>
      <c r="O953" s="2">
        <v>1</v>
      </c>
      <c r="P953" s="3">
        <f t="shared" si="28"/>
        <v>1406.25</v>
      </c>
      <c r="Q953" s="3" t="str">
        <f t="shared" si="29"/>
        <v>FGL00057271875</v>
      </c>
    </row>
    <row r="954" spans="1:18" hidden="1">
      <c r="A954" t="s">
        <v>29</v>
      </c>
      <c r="B954" s="1" t="s">
        <v>1335</v>
      </c>
      <c r="C954" s="1" t="s">
        <v>69</v>
      </c>
      <c r="D954" s="1" t="s">
        <v>1877</v>
      </c>
      <c r="E954" s="1" t="s">
        <v>580</v>
      </c>
      <c r="F954" s="1" t="s">
        <v>581</v>
      </c>
      <c r="G954" s="1" t="s">
        <v>1724</v>
      </c>
      <c r="H954" s="1" t="s">
        <v>1876</v>
      </c>
      <c r="I954" s="1">
        <v>-16</v>
      </c>
      <c r="J954" s="2">
        <v>12382.14</v>
      </c>
      <c r="K954" s="2">
        <v>12382.144150349999</v>
      </c>
      <c r="L954" s="2">
        <v>9039.81</v>
      </c>
      <c r="M954" s="2">
        <v>9039.81</v>
      </c>
      <c r="N954" s="1" t="s">
        <v>45</v>
      </c>
      <c r="O954" s="2">
        <v>1.3697349999999999</v>
      </c>
      <c r="P954" s="3">
        <f t="shared" si="28"/>
        <v>9039.81</v>
      </c>
      <c r="Q954" s="3" t="str">
        <f t="shared" si="29"/>
        <v>1319979039.81</v>
      </c>
      <c r="R954" t="s">
        <v>74</v>
      </c>
    </row>
    <row r="955" spans="1:18" hidden="1">
      <c r="A955" t="s">
        <v>29</v>
      </c>
      <c r="B955" s="1" t="s">
        <v>1335</v>
      </c>
      <c r="C955" s="1" t="s">
        <v>69</v>
      </c>
      <c r="D955" s="1" t="s">
        <v>1878</v>
      </c>
      <c r="E955" s="1" t="s">
        <v>511</v>
      </c>
      <c r="F955" s="1" t="s">
        <v>512</v>
      </c>
      <c r="G955" s="1" t="s">
        <v>1879</v>
      </c>
      <c r="H955" s="1" t="s">
        <v>1876</v>
      </c>
      <c r="I955" s="1">
        <v>-16</v>
      </c>
      <c r="J955" s="2">
        <v>4442.08</v>
      </c>
      <c r="K955" s="2">
        <v>4442.08</v>
      </c>
      <c r="L955" s="2">
        <v>4442.08</v>
      </c>
      <c r="M955" s="2">
        <v>4442.08</v>
      </c>
      <c r="N955" s="1" t="s">
        <v>36</v>
      </c>
      <c r="O955" s="2">
        <v>1</v>
      </c>
      <c r="P955" s="3">
        <f t="shared" si="28"/>
        <v>3331.56</v>
      </c>
      <c r="Q955" s="3" t="str">
        <f t="shared" si="29"/>
        <v>AH44Z8J4442.08</v>
      </c>
      <c r="R955" t="s">
        <v>37</v>
      </c>
    </row>
    <row r="956" spans="1:18" hidden="1">
      <c r="A956" t="s">
        <v>29</v>
      </c>
      <c r="B956" s="1" t="s">
        <v>1335</v>
      </c>
      <c r="C956" s="1" t="s">
        <v>69</v>
      </c>
      <c r="D956" s="1" t="s">
        <v>1880</v>
      </c>
      <c r="E956" s="1" t="s">
        <v>584</v>
      </c>
      <c r="F956" s="1" t="s">
        <v>585</v>
      </c>
      <c r="G956" s="1" t="s">
        <v>752</v>
      </c>
      <c r="H956" s="1" t="s">
        <v>1876</v>
      </c>
      <c r="I956" s="1">
        <v>-16</v>
      </c>
      <c r="J956" s="2">
        <v>97.41</v>
      </c>
      <c r="K956" s="2">
        <v>97.41</v>
      </c>
      <c r="L956" s="2">
        <v>97.41</v>
      </c>
      <c r="M956" s="2">
        <v>97.41</v>
      </c>
      <c r="N956" s="1" t="s">
        <v>36</v>
      </c>
      <c r="O956" s="2">
        <v>1</v>
      </c>
      <c r="P956" s="3">
        <f t="shared" si="28"/>
        <v>73.057500000000005</v>
      </c>
      <c r="Q956" s="3" t="str">
        <f t="shared" si="29"/>
        <v>786680897.41</v>
      </c>
    </row>
    <row r="957" spans="1:18" hidden="1">
      <c r="A957" t="s">
        <v>29</v>
      </c>
      <c r="B957" s="1" t="s">
        <v>1335</v>
      </c>
      <c r="C957" s="1" t="s">
        <v>69</v>
      </c>
      <c r="D957" s="1" t="s">
        <v>1881</v>
      </c>
      <c r="E957" s="1" t="s">
        <v>584</v>
      </c>
      <c r="F957" s="1" t="s">
        <v>585</v>
      </c>
      <c r="G957" s="1" t="s">
        <v>752</v>
      </c>
      <c r="H957" s="1" t="s">
        <v>1876</v>
      </c>
      <c r="I957" s="1">
        <v>-16</v>
      </c>
      <c r="J957" s="2">
        <v>179</v>
      </c>
      <c r="K957" s="2">
        <v>179</v>
      </c>
      <c r="L957" s="2">
        <v>179</v>
      </c>
      <c r="M957" s="2">
        <v>179</v>
      </c>
      <c r="N957" s="1" t="s">
        <v>36</v>
      </c>
      <c r="O957" s="2">
        <v>1</v>
      </c>
      <c r="P957" s="3">
        <f t="shared" si="28"/>
        <v>134.25</v>
      </c>
      <c r="Q957" s="3" t="str">
        <f t="shared" si="29"/>
        <v>7867027179</v>
      </c>
    </row>
    <row r="958" spans="1:18" hidden="1">
      <c r="A958" t="s">
        <v>29</v>
      </c>
      <c r="B958" s="1" t="s">
        <v>1335</v>
      </c>
      <c r="C958" s="1" t="s">
        <v>69</v>
      </c>
      <c r="D958" s="1" t="s">
        <v>1882</v>
      </c>
      <c r="E958" s="1" t="s">
        <v>584</v>
      </c>
      <c r="F958" s="1" t="s">
        <v>585</v>
      </c>
      <c r="G958" s="1" t="s">
        <v>752</v>
      </c>
      <c r="H958" s="1" t="s">
        <v>1876</v>
      </c>
      <c r="I958" s="1">
        <v>-16</v>
      </c>
      <c r="J958" s="2">
        <v>179</v>
      </c>
      <c r="K958" s="2">
        <v>179</v>
      </c>
      <c r="L958" s="2">
        <v>179</v>
      </c>
      <c r="M958" s="2">
        <v>179</v>
      </c>
      <c r="N958" s="1" t="s">
        <v>36</v>
      </c>
      <c r="O958" s="2">
        <v>1</v>
      </c>
      <c r="P958" s="3">
        <f t="shared" si="28"/>
        <v>134.25</v>
      </c>
      <c r="Q958" s="3" t="str">
        <f t="shared" si="29"/>
        <v>7866152179</v>
      </c>
    </row>
    <row r="959" spans="1:18" hidden="1">
      <c r="A959" t="s">
        <v>29</v>
      </c>
      <c r="B959" s="1" t="s">
        <v>1335</v>
      </c>
      <c r="C959" s="1" t="s">
        <v>69</v>
      </c>
      <c r="D959" s="1" t="s">
        <v>1883</v>
      </c>
      <c r="E959" s="1" t="s">
        <v>239</v>
      </c>
      <c r="F959" s="1" t="s">
        <v>240</v>
      </c>
      <c r="G959" s="1" t="s">
        <v>1349</v>
      </c>
      <c r="H959" s="1" t="s">
        <v>1876</v>
      </c>
      <c r="I959" s="1">
        <v>-16</v>
      </c>
      <c r="J959" s="2">
        <v>649.42999999999995</v>
      </c>
      <c r="K959" s="2">
        <v>649.43245554999999</v>
      </c>
      <c r="L959" s="2">
        <v>474.13</v>
      </c>
      <c r="M959" s="2">
        <v>474.13</v>
      </c>
      <c r="N959" s="1" t="s">
        <v>45</v>
      </c>
      <c r="O959" s="2">
        <v>1.3697349999999999</v>
      </c>
      <c r="P959" s="3">
        <f t="shared" ref="P959:P1022" si="30">IF(N959="CAD",$P$1,1)*M959</f>
        <v>474.13</v>
      </c>
      <c r="Q959" s="3" t="str">
        <f t="shared" ref="Q959:Q1022" si="31">D959&amp;M959</f>
        <v>9116944321474.13</v>
      </c>
      <c r="R959" t="s">
        <v>59</v>
      </c>
    </row>
    <row r="960" spans="1:18" hidden="1">
      <c r="A960" t="s">
        <v>29</v>
      </c>
      <c r="B960" s="1" t="s">
        <v>1335</v>
      </c>
      <c r="C960" s="1" t="s">
        <v>69</v>
      </c>
      <c r="D960" s="1" t="s">
        <v>1884</v>
      </c>
      <c r="E960" s="1" t="s">
        <v>334</v>
      </c>
      <c r="F960" s="1" t="s">
        <v>335</v>
      </c>
      <c r="G960" s="1" t="s">
        <v>1885</v>
      </c>
      <c r="H960" s="1" t="s">
        <v>1876</v>
      </c>
      <c r="I960" s="1">
        <v>-16</v>
      </c>
      <c r="J960" s="2">
        <v>36051.43</v>
      </c>
      <c r="K960" s="2">
        <v>36051.425199999998</v>
      </c>
      <c r="L960" s="2">
        <v>26320</v>
      </c>
      <c r="M960" s="2">
        <v>26320</v>
      </c>
      <c r="N960" s="1" t="s">
        <v>45</v>
      </c>
      <c r="O960" s="2">
        <v>1.3697349999999999</v>
      </c>
      <c r="P960" s="3">
        <f t="shared" si="30"/>
        <v>26320</v>
      </c>
      <c r="Q960" s="3" t="str">
        <f t="shared" si="31"/>
        <v>190983784926320</v>
      </c>
      <c r="R960" t="s">
        <v>91</v>
      </c>
    </row>
    <row r="961" spans="1:18" hidden="1">
      <c r="A961" t="s">
        <v>29</v>
      </c>
      <c r="B961" s="1" t="s">
        <v>1335</v>
      </c>
      <c r="C961" s="1" t="s">
        <v>69</v>
      </c>
      <c r="D961" s="1" t="s">
        <v>1886</v>
      </c>
      <c r="E961" s="1" t="s">
        <v>334</v>
      </c>
      <c r="F961" s="1" t="s">
        <v>335</v>
      </c>
      <c r="G961" s="1" t="s">
        <v>1887</v>
      </c>
      <c r="H961" s="1" t="s">
        <v>1876</v>
      </c>
      <c r="I961" s="1">
        <v>-16</v>
      </c>
      <c r="J961" s="2">
        <v>1951.04</v>
      </c>
      <c r="K961" s="2">
        <v>1951.0368366499999</v>
      </c>
      <c r="L961" s="2">
        <v>1424.39</v>
      </c>
      <c r="M961" s="2">
        <v>1424.39</v>
      </c>
      <c r="N961" s="1" t="s">
        <v>45</v>
      </c>
      <c r="O961" s="2">
        <v>1.3697349999999999</v>
      </c>
      <c r="P961" s="3">
        <f t="shared" si="30"/>
        <v>1424.39</v>
      </c>
      <c r="Q961" s="3" t="str">
        <f t="shared" si="31"/>
        <v>29085390441424.39</v>
      </c>
      <c r="R961" t="s">
        <v>91</v>
      </c>
    </row>
    <row r="962" spans="1:18" hidden="1">
      <c r="A962" t="s">
        <v>29</v>
      </c>
      <c r="B962" s="1" t="s">
        <v>1335</v>
      </c>
      <c r="C962" s="1" t="s">
        <v>69</v>
      </c>
      <c r="D962" s="1" t="s">
        <v>1888</v>
      </c>
      <c r="E962" s="1" t="s">
        <v>334</v>
      </c>
      <c r="F962" s="1" t="s">
        <v>335</v>
      </c>
      <c r="G962" s="1" t="s">
        <v>1887</v>
      </c>
      <c r="H962" s="1" t="s">
        <v>1876</v>
      </c>
      <c r="I962" s="1">
        <v>-16</v>
      </c>
      <c r="J962" s="2">
        <v>148.56</v>
      </c>
      <c r="K962" s="2">
        <v>148.56145810000001</v>
      </c>
      <c r="L962" s="2">
        <v>108.46</v>
      </c>
      <c r="M962" s="2">
        <v>108.46</v>
      </c>
      <c r="N962" s="1" t="s">
        <v>45</v>
      </c>
      <c r="O962" s="2">
        <v>1.3697349999999999</v>
      </c>
      <c r="P962" s="3">
        <f t="shared" si="30"/>
        <v>108.46</v>
      </c>
      <c r="Q962" s="3" t="str">
        <f t="shared" si="31"/>
        <v>2908539310108.46</v>
      </c>
      <c r="R962" t="s">
        <v>91</v>
      </c>
    </row>
    <row r="963" spans="1:18" hidden="1">
      <c r="A963" t="s">
        <v>29</v>
      </c>
      <c r="B963" s="1" t="s">
        <v>1350</v>
      </c>
      <c r="C963" s="1" t="s">
        <v>69</v>
      </c>
      <c r="D963" s="1" t="s">
        <v>1889</v>
      </c>
      <c r="E963" s="1" t="s">
        <v>221</v>
      </c>
      <c r="F963" s="1" t="s">
        <v>222</v>
      </c>
      <c r="G963" s="1" t="s">
        <v>1803</v>
      </c>
      <c r="H963" s="1" t="s">
        <v>1890</v>
      </c>
      <c r="I963" s="1">
        <v>-17</v>
      </c>
      <c r="J963" s="2">
        <v>1862.54</v>
      </c>
      <c r="K963" s="2">
        <v>1862.5394940000001</v>
      </c>
      <c r="L963" s="2">
        <v>1357</v>
      </c>
      <c r="M963" s="2">
        <v>1357</v>
      </c>
      <c r="N963" s="1" t="s">
        <v>45</v>
      </c>
      <c r="O963" s="2">
        <v>1.3725419999999999</v>
      </c>
      <c r="P963" s="3">
        <f t="shared" si="30"/>
        <v>1357</v>
      </c>
      <c r="Q963" s="3" t="str">
        <f t="shared" si="31"/>
        <v>FGL00057711357</v>
      </c>
    </row>
    <row r="964" spans="1:18" hidden="1">
      <c r="A964" t="s">
        <v>29</v>
      </c>
      <c r="B964" s="1" t="s">
        <v>1350</v>
      </c>
      <c r="C964" s="1" t="s">
        <v>69</v>
      </c>
      <c r="D964" s="1" t="s">
        <v>1891</v>
      </c>
      <c r="E964" s="1" t="s">
        <v>221</v>
      </c>
      <c r="F964" s="1" t="s">
        <v>222</v>
      </c>
      <c r="G964" s="1" t="s">
        <v>1892</v>
      </c>
      <c r="H964" s="1" t="s">
        <v>1890</v>
      </c>
      <c r="I964" s="1">
        <v>-17</v>
      </c>
      <c r="J964" s="2">
        <v>1312.15</v>
      </c>
      <c r="K964" s="2">
        <v>1312.1501519999999</v>
      </c>
      <c r="L964" s="2">
        <v>956</v>
      </c>
      <c r="M964" s="2">
        <v>956</v>
      </c>
      <c r="N964" s="1" t="s">
        <v>45</v>
      </c>
      <c r="O964" s="2">
        <v>1.3725419999999999</v>
      </c>
      <c r="P964" s="3">
        <f t="shared" si="30"/>
        <v>956</v>
      </c>
      <c r="Q964" s="3" t="str">
        <f t="shared" si="31"/>
        <v>FGL0005776956</v>
      </c>
    </row>
    <row r="965" spans="1:18" hidden="1">
      <c r="A965" t="s">
        <v>29</v>
      </c>
      <c r="B965" s="1" t="s">
        <v>1350</v>
      </c>
      <c r="C965" s="1" t="s">
        <v>69</v>
      </c>
      <c r="D965" s="1" t="s">
        <v>1893</v>
      </c>
      <c r="E965" s="1" t="s">
        <v>1365</v>
      </c>
      <c r="F965" s="1" t="s">
        <v>1366</v>
      </c>
      <c r="G965" s="1" t="s">
        <v>1894</v>
      </c>
      <c r="H965" s="1" t="s">
        <v>1890</v>
      </c>
      <c r="I965" s="1">
        <v>-17</v>
      </c>
      <c r="J965" s="2">
        <v>3098.51</v>
      </c>
      <c r="K965" s="2">
        <v>3098.5135650000002</v>
      </c>
      <c r="L965" s="2">
        <v>2257.5</v>
      </c>
      <c r="M965" s="2">
        <v>2257.5</v>
      </c>
      <c r="N965" s="1" t="s">
        <v>45</v>
      </c>
      <c r="O965" s="2">
        <v>1.3725419999999999</v>
      </c>
      <c r="P965" s="3">
        <f t="shared" si="30"/>
        <v>2257.5</v>
      </c>
      <c r="Q965" s="3" t="str">
        <f t="shared" si="31"/>
        <v>166942257.5</v>
      </c>
      <c r="R965" t="s">
        <v>74</v>
      </c>
    </row>
    <row r="966" spans="1:18" hidden="1">
      <c r="A966" t="s">
        <v>29</v>
      </c>
      <c r="B966" s="1" t="s">
        <v>1350</v>
      </c>
      <c r="C966" s="1" t="s">
        <v>69</v>
      </c>
      <c r="D966" s="1" t="s">
        <v>1895</v>
      </c>
      <c r="E966" s="1" t="s">
        <v>584</v>
      </c>
      <c r="F966" s="1" t="s">
        <v>585</v>
      </c>
      <c r="G966" s="1" t="s">
        <v>752</v>
      </c>
      <c r="H966" s="1" t="s">
        <v>1890</v>
      </c>
      <c r="I966" s="1">
        <v>-17</v>
      </c>
      <c r="J966" s="2">
        <v>179</v>
      </c>
      <c r="K966" s="2">
        <v>179</v>
      </c>
      <c r="L966" s="2">
        <v>179</v>
      </c>
      <c r="M966" s="2">
        <v>179</v>
      </c>
      <c r="N966" s="1" t="s">
        <v>36</v>
      </c>
      <c r="O966" s="2">
        <v>1</v>
      </c>
      <c r="P966" s="3">
        <f t="shared" si="30"/>
        <v>134.25</v>
      </c>
      <c r="Q966" s="3" t="str">
        <f t="shared" si="31"/>
        <v>7870538179</v>
      </c>
    </row>
    <row r="967" spans="1:18" hidden="1">
      <c r="A967" t="s">
        <v>29</v>
      </c>
      <c r="B967" s="1" t="s">
        <v>1350</v>
      </c>
      <c r="C967" s="1" t="s">
        <v>69</v>
      </c>
      <c r="D967" s="1" t="s">
        <v>1896</v>
      </c>
      <c r="E967" s="1" t="s">
        <v>584</v>
      </c>
      <c r="F967" s="1" t="s">
        <v>585</v>
      </c>
      <c r="G967" s="1" t="s">
        <v>752</v>
      </c>
      <c r="H967" s="1" t="s">
        <v>1890</v>
      </c>
      <c r="I967" s="1">
        <v>-17</v>
      </c>
      <c r="J967" s="2">
        <v>179</v>
      </c>
      <c r="K967" s="2">
        <v>179</v>
      </c>
      <c r="L967" s="2">
        <v>179</v>
      </c>
      <c r="M967" s="2">
        <v>179</v>
      </c>
      <c r="N967" s="1" t="s">
        <v>36</v>
      </c>
      <c r="O967" s="2">
        <v>1</v>
      </c>
      <c r="P967" s="3">
        <f t="shared" si="30"/>
        <v>134.25</v>
      </c>
      <c r="Q967" s="3" t="str">
        <f t="shared" si="31"/>
        <v>7870526179</v>
      </c>
    </row>
    <row r="968" spans="1:18" hidden="1">
      <c r="A968" t="s">
        <v>29</v>
      </c>
      <c r="B968" s="1" t="s">
        <v>1350</v>
      </c>
      <c r="C968" s="1" t="s">
        <v>69</v>
      </c>
      <c r="D968" s="1" t="s">
        <v>1897</v>
      </c>
      <c r="E968" s="1" t="s">
        <v>239</v>
      </c>
      <c r="F968" s="1" t="s">
        <v>240</v>
      </c>
      <c r="G968" s="1" t="s">
        <v>1349</v>
      </c>
      <c r="H968" s="1" t="s">
        <v>1890</v>
      </c>
      <c r="I968" s="1">
        <v>-17</v>
      </c>
      <c r="J968" s="2">
        <v>22317.35</v>
      </c>
      <c r="K968" s="2">
        <v>22317.354489540001</v>
      </c>
      <c r="L968" s="2">
        <v>16259.87</v>
      </c>
      <c r="M968" s="2">
        <v>16259.87</v>
      </c>
      <c r="N968" s="1" t="s">
        <v>45</v>
      </c>
      <c r="O968" s="2">
        <v>1.3725419999999999</v>
      </c>
      <c r="P968" s="3">
        <f t="shared" si="30"/>
        <v>16259.87</v>
      </c>
      <c r="Q968" s="3" t="str">
        <f t="shared" si="31"/>
        <v>911695504016259.87</v>
      </c>
      <c r="R968" t="s">
        <v>59</v>
      </c>
    </row>
    <row r="969" spans="1:18" hidden="1">
      <c r="A969" t="s">
        <v>29</v>
      </c>
      <c r="B969" s="1" t="s">
        <v>1350</v>
      </c>
      <c r="C969" s="1" t="s">
        <v>69</v>
      </c>
      <c r="D969" s="1" t="s">
        <v>1898</v>
      </c>
      <c r="E969" s="1" t="s">
        <v>580</v>
      </c>
      <c r="F969" s="1" t="s">
        <v>581</v>
      </c>
      <c r="G969" s="1" t="s">
        <v>1899</v>
      </c>
      <c r="H969" s="1" t="s">
        <v>1890</v>
      </c>
      <c r="I969" s="1">
        <v>-17</v>
      </c>
      <c r="J969" s="2">
        <v>424.53</v>
      </c>
      <c r="K969" s="2">
        <v>424.52724060000003</v>
      </c>
      <c r="L969" s="2">
        <v>309.3</v>
      </c>
      <c r="M969" s="2">
        <v>309.3</v>
      </c>
      <c r="N969" s="1" t="s">
        <v>45</v>
      </c>
      <c r="O969" s="2">
        <v>1.3725419999999999</v>
      </c>
      <c r="P969" s="3">
        <f t="shared" si="30"/>
        <v>309.3</v>
      </c>
      <c r="Q969" s="3" t="str">
        <f t="shared" si="31"/>
        <v>132164309.3</v>
      </c>
      <c r="R969" t="s">
        <v>74</v>
      </c>
    </row>
    <row r="970" spans="1:18" hidden="1">
      <c r="A970" t="s">
        <v>29</v>
      </c>
      <c r="B970" s="1" t="s">
        <v>1350</v>
      </c>
      <c r="C970" s="1" t="s">
        <v>69</v>
      </c>
      <c r="D970" s="1" t="s">
        <v>1900</v>
      </c>
      <c r="E970" s="1" t="s">
        <v>682</v>
      </c>
      <c r="F970" s="1" t="s">
        <v>683</v>
      </c>
      <c r="G970" s="1" t="s">
        <v>684</v>
      </c>
      <c r="H970" s="1" t="s">
        <v>1890</v>
      </c>
      <c r="I970" s="1">
        <v>-17</v>
      </c>
      <c r="J970" s="2">
        <v>2834.35</v>
      </c>
      <c r="K970" s="2">
        <v>2834.35</v>
      </c>
      <c r="L970" s="2">
        <v>2834.35</v>
      </c>
      <c r="M970" s="2">
        <v>2834.35</v>
      </c>
      <c r="N970" s="1" t="s">
        <v>36</v>
      </c>
      <c r="O970" s="2">
        <v>1</v>
      </c>
      <c r="P970" s="3">
        <f t="shared" si="30"/>
        <v>2125.7624999999998</v>
      </c>
      <c r="Q970" s="3" t="str">
        <f t="shared" si="31"/>
        <v>218392834.35</v>
      </c>
    </row>
    <row r="971" spans="1:18" hidden="1">
      <c r="A971" t="s">
        <v>29</v>
      </c>
      <c r="B971" s="1" t="s">
        <v>1350</v>
      </c>
      <c r="C971" s="1" t="s">
        <v>69</v>
      </c>
      <c r="D971" s="1" t="s">
        <v>1901</v>
      </c>
      <c r="E971" s="1" t="s">
        <v>334</v>
      </c>
      <c r="F971" s="1" t="s">
        <v>335</v>
      </c>
      <c r="G971" s="1" t="s">
        <v>1745</v>
      </c>
      <c r="H971" s="1" t="s">
        <v>1890</v>
      </c>
      <c r="I971" s="1">
        <v>-17</v>
      </c>
      <c r="J971" s="2">
        <v>74205.11</v>
      </c>
      <c r="K971" s="2">
        <v>74205.110688000001</v>
      </c>
      <c r="L971" s="2">
        <v>54064</v>
      </c>
      <c r="M971" s="2">
        <v>54064</v>
      </c>
      <c r="N971" s="1" t="s">
        <v>45</v>
      </c>
      <c r="O971" s="2">
        <v>1.3725419999999999</v>
      </c>
      <c r="P971" s="3">
        <f t="shared" si="30"/>
        <v>54064</v>
      </c>
      <c r="Q971" s="3" t="str">
        <f t="shared" si="31"/>
        <v>190983977554064</v>
      </c>
      <c r="R971" t="s">
        <v>91</v>
      </c>
    </row>
    <row r="972" spans="1:18" hidden="1">
      <c r="A972" t="s">
        <v>29</v>
      </c>
      <c r="B972" s="1" t="s">
        <v>1350</v>
      </c>
      <c r="C972" s="1" t="s">
        <v>69</v>
      </c>
      <c r="D972" s="1" t="s">
        <v>1902</v>
      </c>
      <c r="E972" s="1" t="s">
        <v>334</v>
      </c>
      <c r="F972" s="1" t="s">
        <v>335</v>
      </c>
      <c r="G972" s="1" t="s">
        <v>1677</v>
      </c>
      <c r="H972" s="1" t="s">
        <v>1890</v>
      </c>
      <c r="I972" s="1">
        <v>-17</v>
      </c>
      <c r="J972" s="2">
        <v>2275.33</v>
      </c>
      <c r="K972" s="2">
        <v>2275.3315004999999</v>
      </c>
      <c r="L972" s="2">
        <v>1657.75</v>
      </c>
      <c r="M972" s="2">
        <v>1657.75</v>
      </c>
      <c r="N972" s="1" t="s">
        <v>45</v>
      </c>
      <c r="O972" s="2">
        <v>1.3725419999999999</v>
      </c>
      <c r="P972" s="3">
        <f t="shared" si="30"/>
        <v>1657.75</v>
      </c>
      <c r="Q972" s="3" t="str">
        <f t="shared" si="31"/>
        <v>29085423201657.75</v>
      </c>
      <c r="R972" t="s">
        <v>91</v>
      </c>
    </row>
    <row r="973" spans="1:18" hidden="1">
      <c r="A973" t="s">
        <v>29</v>
      </c>
      <c r="B973" s="1" t="s">
        <v>1350</v>
      </c>
      <c r="C973" s="1" t="s">
        <v>69</v>
      </c>
      <c r="D973" s="1" t="s">
        <v>1903</v>
      </c>
      <c r="E973" s="1" t="s">
        <v>334</v>
      </c>
      <c r="F973" s="1" t="s">
        <v>335</v>
      </c>
      <c r="G973" s="1" t="s">
        <v>1675</v>
      </c>
      <c r="H973" s="1" t="s">
        <v>1890</v>
      </c>
      <c r="I973" s="1">
        <v>-17</v>
      </c>
      <c r="J973" s="2">
        <v>584.58000000000004</v>
      </c>
      <c r="K973" s="2">
        <v>584.57936322</v>
      </c>
      <c r="L973" s="2">
        <v>425.91</v>
      </c>
      <c r="M973" s="2">
        <v>425.91</v>
      </c>
      <c r="N973" s="1" t="s">
        <v>45</v>
      </c>
      <c r="O973" s="2">
        <v>1.3725419999999999</v>
      </c>
      <c r="P973" s="3">
        <f t="shared" si="30"/>
        <v>425.91</v>
      </c>
      <c r="Q973" s="3" t="str">
        <f t="shared" si="31"/>
        <v>2908542751425.91</v>
      </c>
      <c r="R973" t="s">
        <v>91</v>
      </c>
    </row>
    <row r="974" spans="1:18" hidden="1">
      <c r="A974" t="s">
        <v>29</v>
      </c>
      <c r="B974" s="1" t="s">
        <v>1350</v>
      </c>
      <c r="C974" s="1" t="s">
        <v>69</v>
      </c>
      <c r="D974" s="1" t="s">
        <v>1904</v>
      </c>
      <c r="E974" s="1" t="s">
        <v>334</v>
      </c>
      <c r="F974" s="1" t="s">
        <v>335</v>
      </c>
      <c r="G974" s="1" t="s">
        <v>1905</v>
      </c>
      <c r="H974" s="1" t="s">
        <v>1890</v>
      </c>
      <c r="I974" s="1">
        <v>-17</v>
      </c>
      <c r="J974" s="2">
        <v>1607.52</v>
      </c>
      <c r="K974" s="2">
        <v>1607.5211904</v>
      </c>
      <c r="L974" s="2">
        <v>1171.2</v>
      </c>
      <c r="M974" s="2">
        <v>1171.2</v>
      </c>
      <c r="N974" s="1" t="s">
        <v>45</v>
      </c>
      <c r="O974" s="2">
        <v>1.3725419999999999</v>
      </c>
      <c r="P974" s="3">
        <f t="shared" si="30"/>
        <v>1171.2</v>
      </c>
      <c r="Q974" s="3" t="str">
        <f t="shared" si="31"/>
        <v>29085434781171.2</v>
      </c>
      <c r="R974" t="s">
        <v>91</v>
      </c>
    </row>
    <row r="975" spans="1:18" hidden="1">
      <c r="A975" t="s">
        <v>29</v>
      </c>
      <c r="B975" s="1" t="s">
        <v>1350</v>
      </c>
      <c r="C975" s="1" t="s">
        <v>69</v>
      </c>
      <c r="D975" s="1" t="s">
        <v>1906</v>
      </c>
      <c r="E975" s="1" t="s">
        <v>303</v>
      </c>
      <c r="F975" s="1"/>
      <c r="G975" s="1" t="s">
        <v>674</v>
      </c>
      <c r="H975" s="1" t="s">
        <v>1890</v>
      </c>
      <c r="I975" s="1">
        <v>-17</v>
      </c>
      <c r="J975" s="2">
        <v>9379</v>
      </c>
      <c r="K975" s="2">
        <v>9379</v>
      </c>
      <c r="L975" s="2">
        <v>9379</v>
      </c>
      <c r="M975" s="2">
        <v>9379</v>
      </c>
      <c r="N975" s="1" t="s">
        <v>36</v>
      </c>
      <c r="O975" s="2">
        <v>1</v>
      </c>
      <c r="P975" s="3">
        <f t="shared" si="30"/>
        <v>7034.25</v>
      </c>
      <c r="Q975" s="3" t="str">
        <f t="shared" si="31"/>
        <v>912700009379</v>
      </c>
    </row>
    <row r="976" spans="1:18" hidden="1">
      <c r="A976" t="s">
        <v>29</v>
      </c>
      <c r="B976" s="1" t="s">
        <v>1369</v>
      </c>
      <c r="C976" s="1" t="s">
        <v>69</v>
      </c>
      <c r="D976" s="1" t="s">
        <v>1907</v>
      </c>
      <c r="E976" s="1" t="s">
        <v>236</v>
      </c>
      <c r="F976" s="1"/>
      <c r="G976" s="1" t="s">
        <v>1908</v>
      </c>
      <c r="H976" s="1" t="s">
        <v>1909</v>
      </c>
      <c r="I976" s="1">
        <v>-18</v>
      </c>
      <c r="J976" s="2">
        <v>1988.8</v>
      </c>
      <c r="K976" s="2">
        <v>1988.8</v>
      </c>
      <c r="L976" s="2">
        <v>1988.8</v>
      </c>
      <c r="M976" s="2">
        <v>1988.8</v>
      </c>
      <c r="N976" s="1" t="s">
        <v>36</v>
      </c>
      <c r="O976" s="2">
        <v>1</v>
      </c>
      <c r="P976" s="3">
        <f t="shared" si="30"/>
        <v>1491.6</v>
      </c>
      <c r="Q976" s="3" t="str">
        <f t="shared" si="31"/>
        <v>20260100436441988.8</v>
      </c>
    </row>
    <row r="977" spans="1:28" hidden="1">
      <c r="A977" t="s">
        <v>29</v>
      </c>
      <c r="B977" s="1" t="s">
        <v>1403</v>
      </c>
      <c r="C977" s="1" t="s">
        <v>69</v>
      </c>
      <c r="D977" s="1" t="s">
        <v>1910</v>
      </c>
      <c r="E977" s="1" t="s">
        <v>1533</v>
      </c>
      <c r="F977" s="1" t="s">
        <v>636</v>
      </c>
      <c r="G977" s="1" t="s">
        <v>1534</v>
      </c>
      <c r="H977" s="1" t="s">
        <v>1909</v>
      </c>
      <c r="I977" s="1">
        <v>-18</v>
      </c>
      <c r="J977" s="2">
        <v>18941.96</v>
      </c>
      <c r="K977" s="2">
        <v>18941.961674999999</v>
      </c>
      <c r="L977" s="2">
        <v>13786.5</v>
      </c>
      <c r="M977" s="2">
        <v>13786.5</v>
      </c>
      <c r="N977" s="1" t="s">
        <v>45</v>
      </c>
      <c r="O977" s="2">
        <v>1.37395</v>
      </c>
      <c r="P977" s="3">
        <f t="shared" si="30"/>
        <v>13786.5</v>
      </c>
      <c r="Q977" s="3" t="str">
        <f t="shared" si="31"/>
        <v>INV-002613786.5</v>
      </c>
      <c r="R977" t="s">
        <v>1911</v>
      </c>
    </row>
    <row r="978" spans="1:28" hidden="1">
      <c r="A978" t="s">
        <v>29</v>
      </c>
      <c r="B978" s="1" t="s">
        <v>1403</v>
      </c>
      <c r="C978" s="1" t="s">
        <v>69</v>
      </c>
      <c r="D978" s="1" t="s">
        <v>1912</v>
      </c>
      <c r="E978" s="1" t="s">
        <v>334</v>
      </c>
      <c r="F978" s="1" t="s">
        <v>335</v>
      </c>
      <c r="G978" s="1" t="s">
        <v>1745</v>
      </c>
      <c r="H978" s="1" t="s">
        <v>1913</v>
      </c>
      <c r="I978" s="1">
        <v>-19</v>
      </c>
      <c r="J978" s="2">
        <v>35832.620000000003</v>
      </c>
      <c r="K978" s="2">
        <v>35832.616000000002</v>
      </c>
      <c r="L978" s="2">
        <v>26080</v>
      </c>
      <c r="M978" s="2">
        <v>26080</v>
      </c>
      <c r="N978" s="1" t="s">
        <v>45</v>
      </c>
      <c r="O978" s="2">
        <v>1.37395</v>
      </c>
      <c r="P978" s="3">
        <f t="shared" si="30"/>
        <v>26080</v>
      </c>
      <c r="Q978" s="3" t="str">
        <f t="shared" si="31"/>
        <v>190984262326080</v>
      </c>
      <c r="R978" t="s">
        <v>91</v>
      </c>
      <c r="AB978" t="s">
        <v>445</v>
      </c>
    </row>
    <row r="979" spans="1:28" hidden="1">
      <c r="A979" t="s">
        <v>29</v>
      </c>
      <c r="B979" s="1" t="s">
        <v>1403</v>
      </c>
      <c r="C979" s="1" t="s">
        <v>69</v>
      </c>
      <c r="D979" s="1" t="s">
        <v>1914</v>
      </c>
      <c r="E979" s="1" t="s">
        <v>334</v>
      </c>
      <c r="F979" s="1" t="s">
        <v>335</v>
      </c>
      <c r="G979" s="1" t="s">
        <v>1745</v>
      </c>
      <c r="H979" s="1" t="s">
        <v>1913</v>
      </c>
      <c r="I979" s="1">
        <v>-19</v>
      </c>
      <c r="J979" s="2">
        <v>33876.11</v>
      </c>
      <c r="K979" s="2">
        <v>33876.111199999999</v>
      </c>
      <c r="L979" s="2">
        <v>24656</v>
      </c>
      <c r="M979" s="2">
        <v>24656</v>
      </c>
      <c r="N979" s="1" t="s">
        <v>45</v>
      </c>
      <c r="O979" s="2">
        <v>1.37395</v>
      </c>
      <c r="P979" s="3">
        <f t="shared" si="30"/>
        <v>24656</v>
      </c>
      <c r="Q979" s="3" t="str">
        <f t="shared" si="31"/>
        <v>190984145124656</v>
      </c>
      <c r="R979" t="s">
        <v>91</v>
      </c>
      <c r="AB979" t="s">
        <v>445</v>
      </c>
    </row>
    <row r="980" spans="1:28" hidden="1">
      <c r="A980" t="s">
        <v>29</v>
      </c>
      <c r="B980" s="1" t="s">
        <v>1403</v>
      </c>
      <c r="C980" s="1" t="s">
        <v>69</v>
      </c>
      <c r="D980" s="1" t="s">
        <v>1915</v>
      </c>
      <c r="E980" s="1" t="s">
        <v>334</v>
      </c>
      <c r="F980" s="1" t="s">
        <v>335</v>
      </c>
      <c r="G980" s="1" t="s">
        <v>1745</v>
      </c>
      <c r="H980" s="1" t="s">
        <v>1913</v>
      </c>
      <c r="I980" s="1">
        <v>-19</v>
      </c>
      <c r="J980" s="2">
        <v>36008.480000000003</v>
      </c>
      <c r="K980" s="2">
        <v>36008.481599999999</v>
      </c>
      <c r="L980" s="2">
        <v>26208</v>
      </c>
      <c r="M980" s="2">
        <v>26208</v>
      </c>
      <c r="N980" s="1" t="s">
        <v>45</v>
      </c>
      <c r="O980" s="2">
        <v>1.37395</v>
      </c>
      <c r="P980" s="3">
        <f t="shared" si="30"/>
        <v>26208</v>
      </c>
      <c r="Q980" s="3" t="str">
        <f t="shared" si="31"/>
        <v>190984246726208</v>
      </c>
      <c r="R980" t="s">
        <v>91</v>
      </c>
      <c r="AB980" t="s">
        <v>445</v>
      </c>
    </row>
    <row r="981" spans="1:28" hidden="1">
      <c r="A981" t="s">
        <v>29</v>
      </c>
      <c r="B981" s="1" t="s">
        <v>1403</v>
      </c>
      <c r="C981" s="1" t="s">
        <v>69</v>
      </c>
      <c r="D981" s="1" t="s">
        <v>1916</v>
      </c>
      <c r="E981" s="1" t="s">
        <v>334</v>
      </c>
      <c r="F981" s="1" t="s">
        <v>335</v>
      </c>
      <c r="G981" s="1" t="s">
        <v>1677</v>
      </c>
      <c r="H981" s="1" t="s">
        <v>1913</v>
      </c>
      <c r="I981" s="1">
        <v>-19</v>
      </c>
      <c r="J981" s="2">
        <v>4555.33</v>
      </c>
      <c r="K981" s="2">
        <v>4555.3312249999999</v>
      </c>
      <c r="L981" s="2">
        <v>3315.5</v>
      </c>
      <c r="M981" s="2">
        <v>3315.5</v>
      </c>
      <c r="N981" s="1" t="s">
        <v>45</v>
      </c>
      <c r="O981" s="2">
        <v>1.37395</v>
      </c>
      <c r="P981" s="3">
        <f t="shared" si="30"/>
        <v>3315.5</v>
      </c>
      <c r="Q981" s="3" t="str">
        <f t="shared" si="31"/>
        <v>29085443193315.5</v>
      </c>
      <c r="R981" t="s">
        <v>91</v>
      </c>
      <c r="AB981" t="s">
        <v>445</v>
      </c>
    </row>
    <row r="982" spans="1:28" hidden="1">
      <c r="A982" t="s">
        <v>29</v>
      </c>
      <c r="B982" s="1" t="s">
        <v>1403</v>
      </c>
      <c r="C982" s="1" t="s">
        <v>69</v>
      </c>
      <c r="D982" s="1" t="s">
        <v>1917</v>
      </c>
      <c r="E982" s="1" t="s">
        <v>334</v>
      </c>
      <c r="F982" s="1" t="s">
        <v>335</v>
      </c>
      <c r="G982" s="1" t="s">
        <v>1918</v>
      </c>
      <c r="H982" s="1" t="s">
        <v>1913</v>
      </c>
      <c r="I982" s="1">
        <v>-19</v>
      </c>
      <c r="J982" s="2">
        <v>554.98</v>
      </c>
      <c r="K982" s="2">
        <v>554.9796235</v>
      </c>
      <c r="L982" s="2">
        <v>403.93</v>
      </c>
      <c r="M982" s="2">
        <v>403.93</v>
      </c>
      <c r="N982" s="1" t="s">
        <v>45</v>
      </c>
      <c r="O982" s="2">
        <v>1.37395</v>
      </c>
      <c r="P982" s="3">
        <f t="shared" si="30"/>
        <v>403.93</v>
      </c>
      <c r="Q982" s="3" t="str">
        <f t="shared" si="31"/>
        <v>2908544515403.93</v>
      </c>
      <c r="R982" t="s">
        <v>91</v>
      </c>
      <c r="AB982" t="s">
        <v>445</v>
      </c>
    </row>
    <row r="983" spans="1:28" hidden="1">
      <c r="A983" t="s">
        <v>29</v>
      </c>
      <c r="B983" s="1" t="s">
        <v>1403</v>
      </c>
      <c r="C983" s="1" t="s">
        <v>69</v>
      </c>
      <c r="D983" s="1" t="s">
        <v>1919</v>
      </c>
      <c r="E983" s="1" t="s">
        <v>334</v>
      </c>
      <c r="F983" s="1" t="s">
        <v>335</v>
      </c>
      <c r="G983" s="1" t="s">
        <v>1745</v>
      </c>
      <c r="H983" s="1" t="s">
        <v>1913</v>
      </c>
      <c r="I983" s="1">
        <v>-19</v>
      </c>
      <c r="J983" s="2">
        <v>967.26</v>
      </c>
      <c r="K983" s="2">
        <v>967.26080000000002</v>
      </c>
      <c r="L983" s="2">
        <v>704</v>
      </c>
      <c r="M983" s="2">
        <v>704</v>
      </c>
      <c r="N983" s="1" t="s">
        <v>45</v>
      </c>
      <c r="O983" s="2">
        <v>1.37395</v>
      </c>
      <c r="P983" s="3">
        <f t="shared" si="30"/>
        <v>704</v>
      </c>
      <c r="Q983" s="3" t="str">
        <f t="shared" si="31"/>
        <v>1909843518704</v>
      </c>
      <c r="R983" t="s">
        <v>91</v>
      </c>
      <c r="AB983" t="s">
        <v>445</v>
      </c>
    </row>
    <row r="984" spans="1:28" hidden="1">
      <c r="A984" t="s">
        <v>29</v>
      </c>
      <c r="B984" s="1" t="s">
        <v>1403</v>
      </c>
      <c r="C984" s="1" t="s">
        <v>69</v>
      </c>
      <c r="D984" s="1" t="s">
        <v>1920</v>
      </c>
      <c r="E984" s="1" t="s">
        <v>334</v>
      </c>
      <c r="F984" s="1" t="s">
        <v>335</v>
      </c>
      <c r="G984" s="1" t="s">
        <v>1921</v>
      </c>
      <c r="H984" s="1" t="s">
        <v>1913</v>
      </c>
      <c r="I984" s="1">
        <v>-19</v>
      </c>
      <c r="J984" s="2">
        <v>12020.44</v>
      </c>
      <c r="K984" s="2">
        <v>12020.441239</v>
      </c>
      <c r="L984" s="2">
        <v>8748.82</v>
      </c>
      <c r="M984" s="2">
        <v>8748.82</v>
      </c>
      <c r="N984" s="1" t="s">
        <v>45</v>
      </c>
      <c r="O984" s="2">
        <v>1.37395</v>
      </c>
      <c r="P984" s="3">
        <f t="shared" si="30"/>
        <v>8748.82</v>
      </c>
      <c r="Q984" s="3" t="str">
        <f t="shared" si="31"/>
        <v>29085464808748.82</v>
      </c>
      <c r="R984" t="s">
        <v>91</v>
      </c>
      <c r="AB984" t="s">
        <v>445</v>
      </c>
    </row>
    <row r="985" spans="1:28" hidden="1">
      <c r="A985" t="s">
        <v>29</v>
      </c>
      <c r="B985" s="1" t="s">
        <v>1403</v>
      </c>
      <c r="C985" s="1" t="s">
        <v>69</v>
      </c>
      <c r="D985" s="1" t="s">
        <v>1922</v>
      </c>
      <c r="E985" s="1" t="s">
        <v>334</v>
      </c>
      <c r="F985" s="1" t="s">
        <v>335</v>
      </c>
      <c r="G985" s="1" t="s">
        <v>1923</v>
      </c>
      <c r="H985" s="1" t="s">
        <v>1913</v>
      </c>
      <c r="I985" s="1">
        <v>-19</v>
      </c>
      <c r="J985" s="2">
        <v>2714.66</v>
      </c>
      <c r="K985" s="2">
        <v>2714.6641494999999</v>
      </c>
      <c r="L985" s="2">
        <v>1975.81</v>
      </c>
      <c r="M985" s="2">
        <v>1975.81</v>
      </c>
      <c r="N985" s="1" t="s">
        <v>45</v>
      </c>
      <c r="O985" s="2">
        <v>1.37395</v>
      </c>
      <c r="P985" s="3">
        <f t="shared" si="30"/>
        <v>1975.81</v>
      </c>
      <c r="Q985" s="3" t="str">
        <f t="shared" si="31"/>
        <v>29085467581975.81</v>
      </c>
      <c r="R985" t="s">
        <v>91</v>
      </c>
      <c r="AB985" t="s">
        <v>445</v>
      </c>
    </row>
    <row r="986" spans="1:28" hidden="1">
      <c r="A986" t="s">
        <v>29</v>
      </c>
      <c r="B986" s="1" t="s">
        <v>1403</v>
      </c>
      <c r="C986" s="1" t="s">
        <v>69</v>
      </c>
      <c r="D986" s="1" t="s">
        <v>1924</v>
      </c>
      <c r="E986" s="1" t="s">
        <v>334</v>
      </c>
      <c r="F986" s="1" t="s">
        <v>335</v>
      </c>
      <c r="G986" s="1" t="s">
        <v>1925</v>
      </c>
      <c r="H986" s="1" t="s">
        <v>1913</v>
      </c>
      <c r="I986" s="1">
        <v>-19</v>
      </c>
      <c r="J986" s="2">
        <v>348.49</v>
      </c>
      <c r="K986" s="2">
        <v>348.48867799999999</v>
      </c>
      <c r="L986" s="2">
        <v>253.64</v>
      </c>
      <c r="M986" s="2">
        <v>253.64</v>
      </c>
      <c r="N986" s="1" t="s">
        <v>45</v>
      </c>
      <c r="O986" s="2">
        <v>1.37395</v>
      </c>
      <c r="P986" s="3">
        <f t="shared" si="30"/>
        <v>253.64</v>
      </c>
      <c r="Q986" s="3" t="str">
        <f t="shared" si="31"/>
        <v>2908545980253.64</v>
      </c>
      <c r="R986" t="s">
        <v>91</v>
      </c>
      <c r="AB986" t="s">
        <v>445</v>
      </c>
    </row>
    <row r="987" spans="1:28" hidden="1">
      <c r="A987" t="s">
        <v>29</v>
      </c>
      <c r="B987" s="1" t="s">
        <v>1403</v>
      </c>
      <c r="C987" s="1" t="s">
        <v>69</v>
      </c>
      <c r="D987" s="1" t="s">
        <v>1926</v>
      </c>
      <c r="E987" s="1" t="s">
        <v>334</v>
      </c>
      <c r="F987" s="1" t="s">
        <v>335</v>
      </c>
      <c r="G987" s="1" t="s">
        <v>874</v>
      </c>
      <c r="H987" s="1" t="s">
        <v>1913</v>
      </c>
      <c r="I987" s="1">
        <v>-19</v>
      </c>
      <c r="J987" s="2">
        <v>312.07</v>
      </c>
      <c r="K987" s="2">
        <v>312.06526350000001</v>
      </c>
      <c r="L987" s="2">
        <v>227.13</v>
      </c>
      <c r="M987" s="2">
        <v>227.13</v>
      </c>
      <c r="N987" s="1" t="s">
        <v>45</v>
      </c>
      <c r="O987" s="2">
        <v>1.37395</v>
      </c>
      <c r="P987" s="3">
        <f t="shared" si="30"/>
        <v>227.13</v>
      </c>
      <c r="Q987" s="3" t="str">
        <f t="shared" si="31"/>
        <v>2908546263227.13</v>
      </c>
      <c r="R987" t="s">
        <v>91</v>
      </c>
      <c r="AB987" t="s">
        <v>445</v>
      </c>
    </row>
    <row r="988" spans="1:28" hidden="1">
      <c r="A988" t="s">
        <v>29</v>
      </c>
      <c r="B988" s="1" t="s">
        <v>1562</v>
      </c>
      <c r="C988" s="1" t="s">
        <v>69</v>
      </c>
      <c r="D988" s="1" t="s">
        <v>1927</v>
      </c>
      <c r="E988" s="1" t="s">
        <v>628</v>
      </c>
      <c r="F988" s="1"/>
      <c r="G988" s="1" t="s">
        <v>1928</v>
      </c>
      <c r="H988" s="1" t="s">
        <v>1913</v>
      </c>
      <c r="I988" s="1">
        <v>-19</v>
      </c>
      <c r="J988" s="2">
        <v>3227494.53</v>
      </c>
      <c r="K988" s="2">
        <v>3227494.5322759999</v>
      </c>
      <c r="L988" s="2">
        <v>2318685.6800000002</v>
      </c>
      <c r="M988" s="2">
        <v>2318685.6800000002</v>
      </c>
      <c r="N988" s="1" t="s">
        <v>45</v>
      </c>
      <c r="O988" s="2">
        <v>1.39195</v>
      </c>
      <c r="P988" s="3">
        <f t="shared" si="30"/>
        <v>2318685.6800000002</v>
      </c>
      <c r="Q988" s="3" t="str">
        <f t="shared" si="31"/>
        <v>20260109M012318685.68</v>
      </c>
    </row>
    <row r="989" spans="1:28" hidden="1">
      <c r="A989" t="s">
        <v>29</v>
      </c>
      <c r="B989" s="1" t="s">
        <v>1434</v>
      </c>
      <c r="C989" s="1" t="s">
        <v>69</v>
      </c>
      <c r="D989" s="1" t="s">
        <v>1929</v>
      </c>
      <c r="E989" s="1" t="s">
        <v>334</v>
      </c>
      <c r="F989" s="1"/>
      <c r="G989" s="1" t="s">
        <v>1930</v>
      </c>
      <c r="H989" s="1" t="s">
        <v>1931</v>
      </c>
      <c r="I989" s="1">
        <v>-20</v>
      </c>
      <c r="J989" s="2">
        <v>1224.67</v>
      </c>
      <c r="K989" s="2">
        <v>1224.6703325000001</v>
      </c>
      <c r="L989" s="2">
        <v>891.35</v>
      </c>
      <c r="M989" s="2">
        <v>891.35</v>
      </c>
      <c r="N989" s="1" t="s">
        <v>45</v>
      </c>
      <c r="O989" s="2">
        <v>1.37395</v>
      </c>
      <c r="P989" s="3">
        <f t="shared" si="30"/>
        <v>891.35</v>
      </c>
      <c r="Q989" s="3" t="str">
        <f t="shared" si="31"/>
        <v>2908549021891.35</v>
      </c>
    </row>
    <row r="990" spans="1:28" hidden="1">
      <c r="A990" t="s">
        <v>29</v>
      </c>
      <c r="B990" s="1" t="s">
        <v>1452</v>
      </c>
      <c r="C990" s="1" t="s">
        <v>69</v>
      </c>
      <c r="D990" s="1" t="s">
        <v>1932</v>
      </c>
      <c r="E990" s="1" t="s">
        <v>334</v>
      </c>
      <c r="F990" s="1"/>
      <c r="G990" s="1" t="s">
        <v>1905</v>
      </c>
      <c r="H990" s="1" t="s">
        <v>1933</v>
      </c>
      <c r="I990" s="1">
        <v>-21</v>
      </c>
      <c r="J990" s="2">
        <v>1881.15</v>
      </c>
      <c r="K990" s="2">
        <v>1881.1474751999999</v>
      </c>
      <c r="L990" s="2">
        <v>1366.4</v>
      </c>
      <c r="M990" s="2">
        <v>1366.4</v>
      </c>
      <c r="N990" s="1" t="s">
        <v>45</v>
      </c>
      <c r="O990" s="2">
        <v>1.3767180000000001</v>
      </c>
      <c r="P990" s="3">
        <f t="shared" si="30"/>
        <v>1366.4</v>
      </c>
      <c r="Q990" s="3" t="str">
        <f t="shared" si="31"/>
        <v>29085508771366.4</v>
      </c>
    </row>
    <row r="991" spans="1:28" hidden="1">
      <c r="A991" t="s">
        <v>29</v>
      </c>
      <c r="B991" s="1" t="s">
        <v>1452</v>
      </c>
      <c r="C991" s="1" t="s">
        <v>69</v>
      </c>
      <c r="D991" s="1" t="s">
        <v>1934</v>
      </c>
      <c r="E991" s="1" t="s">
        <v>334</v>
      </c>
      <c r="F991" s="1"/>
      <c r="G991" s="1" t="s">
        <v>1935</v>
      </c>
      <c r="H991" s="1" t="s">
        <v>1933</v>
      </c>
      <c r="I991" s="1">
        <v>-21</v>
      </c>
      <c r="J991" s="2">
        <v>1186.77</v>
      </c>
      <c r="K991" s="2">
        <v>1186.7722175399999</v>
      </c>
      <c r="L991" s="2">
        <v>862.03</v>
      </c>
      <c r="M991" s="2">
        <v>862.03</v>
      </c>
      <c r="N991" s="1" t="s">
        <v>45</v>
      </c>
      <c r="O991" s="2">
        <v>1.3767180000000001</v>
      </c>
      <c r="P991" s="3">
        <f t="shared" si="30"/>
        <v>862.03</v>
      </c>
      <c r="Q991" s="3" t="str">
        <f t="shared" si="31"/>
        <v>2908550204862.03</v>
      </c>
    </row>
    <row r="992" spans="1:28" hidden="1">
      <c r="A992" t="s">
        <v>29</v>
      </c>
      <c r="B992" s="1" t="s">
        <v>1452</v>
      </c>
      <c r="C992" s="1" t="s">
        <v>69</v>
      </c>
      <c r="D992" s="1" t="s">
        <v>1936</v>
      </c>
      <c r="E992" s="1" t="s">
        <v>334</v>
      </c>
      <c r="F992" s="1"/>
      <c r="G992" s="1" t="s">
        <v>1937</v>
      </c>
      <c r="H992" s="1" t="s">
        <v>1933</v>
      </c>
      <c r="I992" s="1">
        <v>-21</v>
      </c>
      <c r="J992" s="2">
        <v>942.57</v>
      </c>
      <c r="K992" s="2">
        <v>942.56997869999998</v>
      </c>
      <c r="L992" s="2">
        <v>684.65</v>
      </c>
      <c r="M992" s="2">
        <v>684.65</v>
      </c>
      <c r="N992" s="1" t="s">
        <v>45</v>
      </c>
      <c r="O992" s="2">
        <v>1.3767180000000001</v>
      </c>
      <c r="P992" s="3">
        <f t="shared" si="30"/>
        <v>684.65</v>
      </c>
      <c r="Q992" s="3" t="str">
        <f t="shared" si="31"/>
        <v>2908549915684.65</v>
      </c>
    </row>
    <row r="993" spans="1:17" hidden="1">
      <c r="A993" t="s">
        <v>29</v>
      </c>
      <c r="B993" s="1" t="s">
        <v>1452</v>
      </c>
      <c r="C993" s="1" t="s">
        <v>69</v>
      </c>
      <c r="D993" s="1" t="s">
        <v>1938</v>
      </c>
      <c r="E993" s="1" t="s">
        <v>334</v>
      </c>
      <c r="F993" s="1"/>
      <c r="G993" s="1" t="s">
        <v>1939</v>
      </c>
      <c r="H993" s="1" t="s">
        <v>1933</v>
      </c>
      <c r="I993" s="1">
        <v>-21</v>
      </c>
      <c r="J993" s="2">
        <v>6754.27</v>
      </c>
      <c r="K993" s="2">
        <v>6754.2748782600002</v>
      </c>
      <c r="L993" s="2">
        <v>4906.07</v>
      </c>
      <c r="M993" s="2">
        <v>4906.07</v>
      </c>
      <c r="N993" s="1" t="s">
        <v>45</v>
      </c>
      <c r="O993" s="2">
        <v>1.3767180000000001</v>
      </c>
      <c r="P993" s="3">
        <f t="shared" si="30"/>
        <v>4906.07</v>
      </c>
      <c r="Q993" s="3" t="str">
        <f t="shared" si="31"/>
        <v>29085507894906.07</v>
      </c>
    </row>
    <row r="994" spans="1:17" hidden="1">
      <c r="A994" t="s">
        <v>29</v>
      </c>
      <c r="B994" s="1" t="s">
        <v>1487</v>
      </c>
      <c r="C994" s="1" t="s">
        <v>69</v>
      </c>
      <c r="D994" s="1" t="s">
        <v>1940</v>
      </c>
      <c r="E994" s="1" t="s">
        <v>1941</v>
      </c>
      <c r="F994" s="1"/>
      <c r="G994" s="1" t="s">
        <v>1942</v>
      </c>
      <c r="H994" s="1" t="s">
        <v>1943</v>
      </c>
      <c r="I994" s="1">
        <v>-22</v>
      </c>
      <c r="J994" s="2">
        <v>7093.32</v>
      </c>
      <c r="K994" s="2">
        <v>7093.3187159999998</v>
      </c>
      <c r="L994" s="2">
        <v>5152.8</v>
      </c>
      <c r="M994" s="2">
        <v>5152.8</v>
      </c>
      <c r="N994" s="1" t="s">
        <v>45</v>
      </c>
      <c r="O994" s="2">
        <v>1.376595</v>
      </c>
      <c r="P994" s="3">
        <f t="shared" si="30"/>
        <v>5152.8</v>
      </c>
      <c r="Q994" s="3" t="str">
        <f t="shared" si="31"/>
        <v>303216205152.8</v>
      </c>
    </row>
    <row r="995" spans="1:17" hidden="1">
      <c r="A995" t="s">
        <v>29</v>
      </c>
      <c r="B995" s="1" t="s">
        <v>1487</v>
      </c>
      <c r="C995" s="1" t="s">
        <v>69</v>
      </c>
      <c r="D995" s="1" t="s">
        <v>1944</v>
      </c>
      <c r="E995" s="1" t="s">
        <v>334</v>
      </c>
      <c r="F995" s="1"/>
      <c r="G995" s="1" t="s">
        <v>542</v>
      </c>
      <c r="H995" s="1" t="s">
        <v>1943</v>
      </c>
      <c r="I995" s="1">
        <v>-22</v>
      </c>
      <c r="J995" s="2">
        <v>1517.49</v>
      </c>
      <c r="K995" s="2">
        <v>1517.48949825</v>
      </c>
      <c r="L995" s="2">
        <v>1102.3499999999999</v>
      </c>
      <c r="M995" s="2">
        <v>1102.3499999999999</v>
      </c>
      <c r="N995" s="1" t="s">
        <v>45</v>
      </c>
      <c r="O995" s="2">
        <v>1.376595</v>
      </c>
      <c r="P995" s="3">
        <f t="shared" si="30"/>
        <v>1102.3499999999999</v>
      </c>
      <c r="Q995" s="3" t="str">
        <f t="shared" si="31"/>
        <v>29085536211102.35</v>
      </c>
    </row>
    <row r="996" spans="1:17" hidden="1">
      <c r="A996" t="s">
        <v>29</v>
      </c>
      <c r="B996" s="1" t="s">
        <v>1487</v>
      </c>
      <c r="C996" s="1" t="s">
        <v>69</v>
      </c>
      <c r="D996" s="1" t="s">
        <v>1945</v>
      </c>
      <c r="E996" s="1" t="s">
        <v>334</v>
      </c>
      <c r="F996" s="1"/>
      <c r="G996" s="1" t="s">
        <v>1752</v>
      </c>
      <c r="H996" s="1" t="s">
        <v>1943</v>
      </c>
      <c r="I996" s="1">
        <v>-22</v>
      </c>
      <c r="J996" s="2">
        <v>107.75</v>
      </c>
      <c r="K996" s="2">
        <v>107.74609065</v>
      </c>
      <c r="L996" s="2">
        <v>78.27</v>
      </c>
      <c r="M996" s="2">
        <v>78.27</v>
      </c>
      <c r="N996" s="1" t="s">
        <v>45</v>
      </c>
      <c r="O996" s="2">
        <v>1.376595</v>
      </c>
      <c r="P996" s="3">
        <f t="shared" si="30"/>
        <v>78.27</v>
      </c>
      <c r="Q996" s="3" t="str">
        <f t="shared" si="31"/>
        <v>290855147978.27</v>
      </c>
    </row>
    <row r="997" spans="1:17" hidden="1">
      <c r="A997" t="s">
        <v>29</v>
      </c>
      <c r="B997" s="1" t="s">
        <v>1487</v>
      </c>
      <c r="C997" s="1" t="s">
        <v>69</v>
      </c>
      <c r="D997" s="1" t="s">
        <v>1946</v>
      </c>
      <c r="E997" s="1" t="s">
        <v>334</v>
      </c>
      <c r="F997" s="1"/>
      <c r="G997" s="1" t="s">
        <v>1675</v>
      </c>
      <c r="H997" s="1" t="s">
        <v>1943</v>
      </c>
      <c r="I997" s="1">
        <v>-22</v>
      </c>
      <c r="J997" s="2">
        <v>3921.62</v>
      </c>
      <c r="K997" s="2">
        <v>3921.6163041</v>
      </c>
      <c r="L997" s="2">
        <v>2848.78</v>
      </c>
      <c r="M997" s="2">
        <v>2848.78</v>
      </c>
      <c r="N997" s="1" t="s">
        <v>45</v>
      </c>
      <c r="O997" s="2">
        <v>1.376595</v>
      </c>
      <c r="P997" s="3">
        <f t="shared" si="30"/>
        <v>2848.78</v>
      </c>
      <c r="Q997" s="3" t="str">
        <f t="shared" si="31"/>
        <v>29085515622848.78</v>
      </c>
    </row>
    <row r="998" spans="1:17" hidden="1">
      <c r="A998" t="s">
        <v>29</v>
      </c>
      <c r="B998" s="1" t="s">
        <v>1487</v>
      </c>
      <c r="C998" s="1" t="s">
        <v>69</v>
      </c>
      <c r="D998" s="1" t="s">
        <v>1947</v>
      </c>
      <c r="E998" s="1" t="s">
        <v>334</v>
      </c>
      <c r="F998" s="1"/>
      <c r="G998" s="1" t="s">
        <v>1948</v>
      </c>
      <c r="H998" s="1" t="s">
        <v>1943</v>
      </c>
      <c r="I998" s="1">
        <v>-22</v>
      </c>
      <c r="J998" s="2">
        <v>6462.15</v>
      </c>
      <c r="K998" s="2">
        <v>6462.1499084999996</v>
      </c>
      <c r="L998" s="2">
        <v>4694.3</v>
      </c>
      <c r="M998" s="2">
        <v>4694.3</v>
      </c>
      <c r="N998" s="1" t="s">
        <v>45</v>
      </c>
      <c r="O998" s="2">
        <v>1.376595</v>
      </c>
      <c r="P998" s="3">
        <f t="shared" si="30"/>
        <v>4694.3</v>
      </c>
      <c r="Q998" s="3" t="str">
        <f t="shared" si="31"/>
        <v>29085519244694.3</v>
      </c>
    </row>
    <row r="999" spans="1:17" hidden="1">
      <c r="A999" t="s">
        <v>29</v>
      </c>
      <c r="B999" s="1" t="s">
        <v>1487</v>
      </c>
      <c r="C999" s="1" t="s">
        <v>69</v>
      </c>
      <c r="D999" s="1" t="s">
        <v>1949</v>
      </c>
      <c r="E999" s="1" t="s">
        <v>334</v>
      </c>
      <c r="F999" s="1"/>
      <c r="G999" s="1" t="s">
        <v>1769</v>
      </c>
      <c r="H999" s="1" t="s">
        <v>1943</v>
      </c>
      <c r="I999" s="1">
        <v>-22</v>
      </c>
      <c r="J999" s="2">
        <v>90.21</v>
      </c>
      <c r="K999" s="2">
        <v>90.208270350000006</v>
      </c>
      <c r="L999" s="2">
        <v>65.53</v>
      </c>
      <c r="M999" s="2">
        <v>65.53</v>
      </c>
      <c r="N999" s="1" t="s">
        <v>45</v>
      </c>
      <c r="O999" s="2">
        <v>1.376595</v>
      </c>
      <c r="P999" s="3">
        <f t="shared" si="30"/>
        <v>65.53</v>
      </c>
      <c r="Q999" s="3" t="str">
        <f t="shared" si="31"/>
        <v>290855195565.53</v>
      </c>
    </row>
    <row r="1000" spans="1:17" hidden="1">
      <c r="A1000" t="s">
        <v>29</v>
      </c>
      <c r="B1000" s="1" t="s">
        <v>1487</v>
      </c>
      <c r="C1000" s="1" t="s">
        <v>69</v>
      </c>
      <c r="D1000" s="1" t="s">
        <v>1950</v>
      </c>
      <c r="E1000" s="1" t="s">
        <v>334</v>
      </c>
      <c r="F1000" s="1"/>
      <c r="G1000" s="1" t="s">
        <v>1951</v>
      </c>
      <c r="H1000" s="1" t="s">
        <v>1943</v>
      </c>
      <c r="I1000" s="1">
        <v>-22</v>
      </c>
      <c r="J1000" s="2">
        <v>2729.36</v>
      </c>
      <c r="K1000" s="2">
        <v>2729.3611405500001</v>
      </c>
      <c r="L1000" s="2">
        <v>1982.69</v>
      </c>
      <c r="M1000" s="2">
        <v>1982.69</v>
      </c>
      <c r="N1000" s="1" t="s">
        <v>45</v>
      </c>
      <c r="O1000" s="2">
        <v>1.376595</v>
      </c>
      <c r="P1000" s="3">
        <f t="shared" si="30"/>
        <v>1982.69</v>
      </c>
      <c r="Q1000" s="3" t="str">
        <f t="shared" si="31"/>
        <v>29085524241982.69</v>
      </c>
    </row>
    <row r="1001" spans="1:17" hidden="1">
      <c r="A1001" t="s">
        <v>29</v>
      </c>
      <c r="B1001" s="1" t="s">
        <v>1497</v>
      </c>
      <c r="C1001" s="1" t="s">
        <v>69</v>
      </c>
      <c r="D1001" s="1" t="s">
        <v>1952</v>
      </c>
      <c r="E1001" s="1" t="s">
        <v>135</v>
      </c>
      <c r="F1001" s="1"/>
      <c r="G1001" s="1" t="s">
        <v>789</v>
      </c>
      <c r="H1001" s="1" t="s">
        <v>1953</v>
      </c>
      <c r="I1001" s="1">
        <v>-23</v>
      </c>
      <c r="J1001" s="2">
        <v>22274.32</v>
      </c>
      <c r="K1001" s="2">
        <v>22274.32</v>
      </c>
      <c r="L1001" s="2">
        <v>22274.32</v>
      </c>
      <c r="M1001" s="2">
        <v>22274.32</v>
      </c>
      <c r="N1001" s="1" t="s">
        <v>36</v>
      </c>
      <c r="O1001" s="2">
        <v>1</v>
      </c>
      <c r="P1001" s="3">
        <f t="shared" si="30"/>
        <v>16705.739999999998</v>
      </c>
      <c r="Q1001" s="3" t="str">
        <f t="shared" si="31"/>
        <v>FLSI-70650222274.32</v>
      </c>
    </row>
    <row r="1002" spans="1:17" hidden="1">
      <c r="A1002" t="s">
        <v>29</v>
      </c>
      <c r="B1002" s="1" t="s">
        <v>1497</v>
      </c>
      <c r="C1002" s="1" t="s">
        <v>69</v>
      </c>
      <c r="D1002" s="1" t="s">
        <v>1954</v>
      </c>
      <c r="E1002" s="1" t="s">
        <v>334</v>
      </c>
      <c r="F1002" s="1"/>
      <c r="G1002" s="1" t="s">
        <v>1955</v>
      </c>
      <c r="H1002" s="1" t="s">
        <v>1953</v>
      </c>
      <c r="I1002" s="1">
        <v>-23</v>
      </c>
      <c r="J1002" s="2">
        <v>2417.7399999999998</v>
      </c>
      <c r="K1002" s="2">
        <v>2417.7440000000001</v>
      </c>
      <c r="L1002" s="2">
        <v>1750</v>
      </c>
      <c r="M1002" s="2">
        <v>1750</v>
      </c>
      <c r="N1002" s="1" t="s">
        <v>45</v>
      </c>
      <c r="O1002" s="2">
        <v>1.3815679999999999</v>
      </c>
      <c r="P1002" s="3">
        <f t="shared" si="30"/>
        <v>1750</v>
      </c>
      <c r="Q1002" s="3" t="str">
        <f t="shared" si="31"/>
        <v>19098555731750</v>
      </c>
    </row>
    <row r="1003" spans="1:17" hidden="1">
      <c r="A1003" t="s">
        <v>29</v>
      </c>
      <c r="B1003" s="1" t="s">
        <v>1497</v>
      </c>
      <c r="C1003" s="1" t="s">
        <v>69</v>
      </c>
      <c r="D1003" s="1" t="s">
        <v>1956</v>
      </c>
      <c r="E1003" s="1" t="s">
        <v>392</v>
      </c>
      <c r="F1003" s="1"/>
      <c r="G1003" s="1" t="s">
        <v>1281</v>
      </c>
      <c r="H1003" s="1" t="s">
        <v>1953</v>
      </c>
      <c r="I1003" s="1">
        <v>-23</v>
      </c>
      <c r="J1003" s="2">
        <v>18080</v>
      </c>
      <c r="K1003" s="2">
        <v>18080</v>
      </c>
      <c r="L1003" s="2">
        <v>18080</v>
      </c>
      <c r="M1003" s="2">
        <v>18080</v>
      </c>
      <c r="N1003" s="1" t="s">
        <v>36</v>
      </c>
      <c r="O1003" s="2">
        <v>1</v>
      </c>
      <c r="P1003" s="3">
        <f t="shared" si="30"/>
        <v>13560</v>
      </c>
      <c r="Q1003" s="3" t="str">
        <f t="shared" si="31"/>
        <v>000212518080</v>
      </c>
    </row>
    <row r="1004" spans="1:17" hidden="1">
      <c r="A1004" t="s">
        <v>29</v>
      </c>
      <c r="B1004" s="1" t="s">
        <v>1497</v>
      </c>
      <c r="C1004" s="1" t="s">
        <v>69</v>
      </c>
      <c r="D1004" s="1" t="s">
        <v>1957</v>
      </c>
      <c r="E1004" s="1" t="s">
        <v>392</v>
      </c>
      <c r="F1004" s="1"/>
      <c r="G1004" s="1" t="s">
        <v>1958</v>
      </c>
      <c r="H1004" s="1" t="s">
        <v>1953</v>
      </c>
      <c r="I1004" s="1">
        <v>-23</v>
      </c>
      <c r="J1004" s="2">
        <v>19888</v>
      </c>
      <c r="K1004" s="2">
        <v>19888</v>
      </c>
      <c r="L1004" s="2">
        <v>19888</v>
      </c>
      <c r="M1004" s="2">
        <v>19888</v>
      </c>
      <c r="N1004" s="1" t="s">
        <v>36</v>
      </c>
      <c r="O1004" s="2">
        <v>1</v>
      </c>
      <c r="P1004" s="3">
        <f t="shared" si="30"/>
        <v>14916</v>
      </c>
      <c r="Q1004" s="3" t="str">
        <f t="shared" si="31"/>
        <v>000212319888</v>
      </c>
    </row>
    <row r="1005" spans="1:17" hidden="1">
      <c r="A1005" t="s">
        <v>29</v>
      </c>
      <c r="B1005" s="1" t="s">
        <v>1497</v>
      </c>
      <c r="C1005" s="1" t="s">
        <v>69</v>
      </c>
      <c r="D1005" s="1" t="s">
        <v>1959</v>
      </c>
      <c r="E1005" s="1" t="s">
        <v>334</v>
      </c>
      <c r="F1005" s="1"/>
      <c r="G1005" s="1" t="s">
        <v>1925</v>
      </c>
      <c r="H1005" s="1" t="s">
        <v>1953</v>
      </c>
      <c r="I1005" s="1">
        <v>-23</v>
      </c>
      <c r="J1005" s="2">
        <v>303.39</v>
      </c>
      <c r="K1005" s="2">
        <v>303.39233280000002</v>
      </c>
      <c r="L1005" s="2">
        <v>219.6</v>
      </c>
      <c r="M1005" s="2">
        <v>219.6</v>
      </c>
      <c r="N1005" s="1" t="s">
        <v>45</v>
      </c>
      <c r="O1005" s="2">
        <v>1.3815679999999999</v>
      </c>
      <c r="P1005" s="3">
        <f t="shared" si="30"/>
        <v>219.6</v>
      </c>
      <c r="Q1005" s="3" t="str">
        <f t="shared" si="31"/>
        <v>2908556039219.6</v>
      </c>
    </row>
    <row r="1006" spans="1:17" hidden="1">
      <c r="A1006" t="s">
        <v>29</v>
      </c>
      <c r="B1006" s="1" t="s">
        <v>1497</v>
      </c>
      <c r="C1006" s="1" t="s">
        <v>69</v>
      </c>
      <c r="D1006" s="1" t="s">
        <v>1960</v>
      </c>
      <c r="E1006" s="1" t="s">
        <v>334</v>
      </c>
      <c r="F1006" s="1"/>
      <c r="G1006" s="1" t="s">
        <v>1961</v>
      </c>
      <c r="H1006" s="1" t="s">
        <v>1953</v>
      </c>
      <c r="I1006" s="1">
        <v>-23</v>
      </c>
      <c r="J1006" s="2">
        <v>3289.5</v>
      </c>
      <c r="K1006" s="2">
        <v>3289.4995923199999</v>
      </c>
      <c r="L1006" s="2">
        <v>2380.9899999999998</v>
      </c>
      <c r="M1006" s="2">
        <v>2380.9899999999998</v>
      </c>
      <c r="N1006" s="1" t="s">
        <v>45</v>
      </c>
      <c r="O1006" s="2">
        <v>1.3815679999999999</v>
      </c>
      <c r="P1006" s="3">
        <f t="shared" si="30"/>
        <v>2380.9899999999998</v>
      </c>
      <c r="Q1006" s="3" t="str">
        <f t="shared" si="31"/>
        <v>29085541312380.99</v>
      </c>
    </row>
    <row r="1007" spans="1:17" hidden="1">
      <c r="A1007" t="s">
        <v>29</v>
      </c>
      <c r="B1007" s="1" t="s">
        <v>1497</v>
      </c>
      <c r="C1007" s="1" t="s">
        <v>69</v>
      </c>
      <c r="D1007" s="1" t="s">
        <v>1962</v>
      </c>
      <c r="E1007" s="1" t="s">
        <v>334</v>
      </c>
      <c r="F1007" s="1"/>
      <c r="G1007" s="1" t="s">
        <v>1963</v>
      </c>
      <c r="H1007" s="1" t="s">
        <v>1953</v>
      </c>
      <c r="I1007" s="1">
        <v>-23</v>
      </c>
      <c r="J1007" s="2">
        <v>10492.66</v>
      </c>
      <c r="K1007" s="2">
        <v>10492.663568</v>
      </c>
      <c r="L1007" s="2">
        <v>7594.75</v>
      </c>
      <c r="M1007" s="2">
        <v>7594.75</v>
      </c>
      <c r="N1007" s="1" t="s">
        <v>45</v>
      </c>
      <c r="O1007" s="2">
        <v>1.3815679999999999</v>
      </c>
      <c r="P1007" s="3">
        <f t="shared" si="30"/>
        <v>7594.75</v>
      </c>
      <c r="Q1007" s="3" t="str">
        <f t="shared" si="31"/>
        <v>29085542417594.75</v>
      </c>
    </row>
    <row r="1008" spans="1:17" hidden="1">
      <c r="A1008" t="s">
        <v>29</v>
      </c>
      <c r="B1008" s="1" t="s">
        <v>1497</v>
      </c>
      <c r="C1008" s="1" t="s">
        <v>69</v>
      </c>
      <c r="D1008" s="1" t="s">
        <v>1964</v>
      </c>
      <c r="E1008" s="1" t="s">
        <v>334</v>
      </c>
      <c r="F1008" s="1"/>
      <c r="G1008" s="1" t="s">
        <v>542</v>
      </c>
      <c r="H1008" s="1" t="s">
        <v>1953</v>
      </c>
      <c r="I1008" s="1">
        <v>-23</v>
      </c>
      <c r="J1008" s="2">
        <v>1420.31</v>
      </c>
      <c r="K1008" s="2">
        <v>1420.3071667199999</v>
      </c>
      <c r="L1008" s="2">
        <v>1028.04</v>
      </c>
      <c r="M1008" s="2">
        <v>1028.04</v>
      </c>
      <c r="N1008" s="1" t="s">
        <v>45</v>
      </c>
      <c r="O1008" s="2">
        <v>1.3815679999999999</v>
      </c>
      <c r="P1008" s="3">
        <f t="shared" si="30"/>
        <v>1028.04</v>
      </c>
      <c r="Q1008" s="3" t="str">
        <f t="shared" si="31"/>
        <v>29085547101028.04</v>
      </c>
    </row>
    <row r="1009" spans="1:17" hidden="1">
      <c r="A1009" t="s">
        <v>29</v>
      </c>
      <c r="B1009" s="1" t="s">
        <v>1497</v>
      </c>
      <c r="C1009" s="1" t="s">
        <v>69</v>
      </c>
      <c r="D1009" s="1" t="s">
        <v>1965</v>
      </c>
      <c r="E1009" s="1" t="s">
        <v>334</v>
      </c>
      <c r="F1009" s="1"/>
      <c r="G1009" s="1" t="s">
        <v>1675</v>
      </c>
      <c r="H1009" s="1" t="s">
        <v>1953</v>
      </c>
      <c r="I1009" s="1">
        <v>-23</v>
      </c>
      <c r="J1009" s="2">
        <v>5321.87</v>
      </c>
      <c r="K1009" s="2">
        <v>5321.8690144000002</v>
      </c>
      <c r="L1009" s="2">
        <v>3852.05</v>
      </c>
      <c r="M1009" s="2">
        <v>3852.05</v>
      </c>
      <c r="N1009" s="1" t="s">
        <v>45</v>
      </c>
      <c r="O1009" s="2">
        <v>1.3815679999999999</v>
      </c>
      <c r="P1009" s="3">
        <f t="shared" si="30"/>
        <v>3852.05</v>
      </c>
      <c r="Q1009" s="3" t="str">
        <f t="shared" si="31"/>
        <v>29085550813852.05</v>
      </c>
    </row>
    <row r="1010" spans="1:17" hidden="1">
      <c r="A1010" t="s">
        <v>29</v>
      </c>
      <c r="B1010" s="1" t="s">
        <v>1497</v>
      </c>
      <c r="C1010" s="1" t="s">
        <v>69</v>
      </c>
      <c r="D1010" s="1" t="s">
        <v>1966</v>
      </c>
      <c r="E1010" s="1" t="s">
        <v>334</v>
      </c>
      <c r="F1010" s="1"/>
      <c r="G1010" s="1" t="s">
        <v>1677</v>
      </c>
      <c r="H1010" s="1" t="s">
        <v>1953</v>
      </c>
      <c r="I1010" s="1">
        <v>-23</v>
      </c>
      <c r="J1010" s="2">
        <v>2473.52</v>
      </c>
      <c r="K1010" s="2">
        <v>2473.51790016</v>
      </c>
      <c r="L1010" s="2">
        <v>1790.37</v>
      </c>
      <c r="M1010" s="2">
        <v>1790.37</v>
      </c>
      <c r="N1010" s="1" t="s">
        <v>45</v>
      </c>
      <c r="O1010" s="2">
        <v>1.3815679999999999</v>
      </c>
      <c r="P1010" s="3">
        <f t="shared" si="30"/>
        <v>1790.37</v>
      </c>
      <c r="Q1010" s="3" t="str">
        <f t="shared" si="31"/>
        <v>29085551511790.37</v>
      </c>
    </row>
    <row r="1011" spans="1:17" hidden="1">
      <c r="A1011" t="s">
        <v>29</v>
      </c>
      <c r="B1011" s="1" t="s">
        <v>1497</v>
      </c>
      <c r="C1011" s="1" t="s">
        <v>69</v>
      </c>
      <c r="D1011" s="1" t="s">
        <v>1967</v>
      </c>
      <c r="E1011" s="1" t="s">
        <v>334</v>
      </c>
      <c r="F1011" s="1"/>
      <c r="G1011" s="1" t="s">
        <v>1757</v>
      </c>
      <c r="H1011" s="1" t="s">
        <v>1953</v>
      </c>
      <c r="I1011" s="1">
        <v>-23</v>
      </c>
      <c r="J1011" s="2">
        <v>16.940000000000001</v>
      </c>
      <c r="K1011" s="2">
        <v>16.938023680000001</v>
      </c>
      <c r="L1011" s="2">
        <v>12.26</v>
      </c>
      <c r="M1011" s="2">
        <v>12.26</v>
      </c>
      <c r="N1011" s="1" t="s">
        <v>45</v>
      </c>
      <c r="O1011" s="2">
        <v>1.3815679999999999</v>
      </c>
      <c r="P1011" s="3">
        <f t="shared" si="30"/>
        <v>12.26</v>
      </c>
      <c r="Q1011" s="3" t="str">
        <f t="shared" si="31"/>
        <v>290855549912.26</v>
      </c>
    </row>
    <row r="1012" spans="1:17" hidden="1">
      <c r="A1012" t="s">
        <v>29</v>
      </c>
      <c r="B1012" s="1" t="s">
        <v>1497</v>
      </c>
      <c r="C1012" s="1" t="s">
        <v>69</v>
      </c>
      <c r="D1012" s="1" t="s">
        <v>1968</v>
      </c>
      <c r="E1012" s="1" t="s">
        <v>334</v>
      </c>
      <c r="F1012" s="1"/>
      <c r="G1012" s="1" t="s">
        <v>1677</v>
      </c>
      <c r="H1012" s="1" t="s">
        <v>1953</v>
      </c>
      <c r="I1012" s="1">
        <v>-23</v>
      </c>
      <c r="J1012" s="2">
        <v>366.45</v>
      </c>
      <c r="K1012" s="2">
        <v>366.44709632000001</v>
      </c>
      <c r="L1012" s="2">
        <v>265.24</v>
      </c>
      <c r="M1012" s="2">
        <v>265.24</v>
      </c>
      <c r="N1012" s="1" t="s">
        <v>45</v>
      </c>
      <c r="O1012" s="2">
        <v>1.3815679999999999</v>
      </c>
      <c r="P1012" s="3">
        <f t="shared" si="30"/>
        <v>265.24</v>
      </c>
      <c r="Q1012" s="3" t="str">
        <f t="shared" si="31"/>
        <v>2908555500265.24</v>
      </c>
    </row>
    <row r="1013" spans="1:17" hidden="1">
      <c r="A1013" t="s">
        <v>29</v>
      </c>
      <c r="B1013" s="1" t="s">
        <v>1497</v>
      </c>
      <c r="C1013" s="1" t="s">
        <v>69</v>
      </c>
      <c r="D1013" s="1" t="s">
        <v>1969</v>
      </c>
      <c r="E1013" s="1" t="s">
        <v>334</v>
      </c>
      <c r="F1013" s="1"/>
      <c r="G1013" s="1" t="s">
        <v>1905</v>
      </c>
      <c r="H1013" s="1" t="s">
        <v>1953</v>
      </c>
      <c r="I1013" s="1">
        <v>-23</v>
      </c>
      <c r="J1013" s="2">
        <v>7739.88</v>
      </c>
      <c r="K1013" s="2">
        <v>7739.8755123199999</v>
      </c>
      <c r="L1013" s="2">
        <v>5602.24</v>
      </c>
      <c r="M1013" s="2">
        <v>5602.24</v>
      </c>
      <c r="N1013" s="1" t="s">
        <v>45</v>
      </c>
      <c r="O1013" s="2">
        <v>1.3815679999999999</v>
      </c>
      <c r="P1013" s="3">
        <f t="shared" si="30"/>
        <v>5602.24</v>
      </c>
      <c r="Q1013" s="3" t="str">
        <f t="shared" si="31"/>
        <v>29085557515602.24</v>
      </c>
    </row>
    <row r="1014" spans="1:17" hidden="1">
      <c r="A1014" t="s">
        <v>29</v>
      </c>
      <c r="B1014" s="1" t="s">
        <v>1506</v>
      </c>
      <c r="C1014" s="1" t="s">
        <v>69</v>
      </c>
      <c r="D1014" s="1" t="s">
        <v>1970</v>
      </c>
      <c r="E1014" s="1" t="s">
        <v>580</v>
      </c>
      <c r="F1014" s="1"/>
      <c r="G1014" s="1" t="s">
        <v>1899</v>
      </c>
      <c r="H1014" s="1" t="s">
        <v>1971</v>
      </c>
      <c r="I1014" s="1">
        <v>-24</v>
      </c>
      <c r="J1014" s="2">
        <v>1455.8</v>
      </c>
      <c r="K1014" s="2">
        <v>1455.8027502</v>
      </c>
      <c r="L1014" s="2">
        <v>1050.3399999999999</v>
      </c>
      <c r="M1014" s="2">
        <v>1050.3399999999999</v>
      </c>
      <c r="N1014" s="1" t="s">
        <v>45</v>
      </c>
      <c r="O1014" s="2">
        <v>1.3860300000000001</v>
      </c>
      <c r="P1014" s="3">
        <f t="shared" si="30"/>
        <v>1050.3399999999999</v>
      </c>
      <c r="Q1014" s="3" t="str">
        <f t="shared" si="31"/>
        <v>1321961050.34</v>
      </c>
    </row>
    <row r="1015" spans="1:17" hidden="1">
      <c r="A1015" t="s">
        <v>29</v>
      </c>
      <c r="B1015" s="1" t="s">
        <v>1506</v>
      </c>
      <c r="C1015" s="1" t="s">
        <v>69</v>
      </c>
      <c r="D1015" s="1" t="s">
        <v>1972</v>
      </c>
      <c r="E1015" s="1" t="s">
        <v>471</v>
      </c>
      <c r="F1015" s="1"/>
      <c r="G1015" s="1" t="s">
        <v>1044</v>
      </c>
      <c r="H1015" s="1" t="s">
        <v>1971</v>
      </c>
      <c r="I1015" s="1">
        <v>-24</v>
      </c>
      <c r="J1015" s="2">
        <v>13144.73</v>
      </c>
      <c r="K1015" s="2">
        <v>13144.73</v>
      </c>
      <c r="L1015" s="2">
        <v>13144.73</v>
      </c>
      <c r="M1015" s="2">
        <v>13144.73</v>
      </c>
      <c r="N1015" s="1" t="s">
        <v>36</v>
      </c>
      <c r="O1015" s="2">
        <v>1</v>
      </c>
      <c r="P1015" s="3">
        <f t="shared" si="30"/>
        <v>9858.5475000000006</v>
      </c>
      <c r="Q1015" s="3" t="str">
        <f t="shared" si="31"/>
        <v>D5450613144.73</v>
      </c>
    </row>
    <row r="1016" spans="1:17" hidden="1">
      <c r="A1016" t="s">
        <v>29</v>
      </c>
      <c r="B1016" s="1" t="s">
        <v>1506</v>
      </c>
      <c r="C1016" s="1" t="s">
        <v>69</v>
      </c>
      <c r="D1016" s="1" t="s">
        <v>1973</v>
      </c>
      <c r="E1016" s="1" t="s">
        <v>471</v>
      </c>
      <c r="F1016" s="1"/>
      <c r="G1016" s="1" t="s">
        <v>1708</v>
      </c>
      <c r="H1016" s="1" t="s">
        <v>1971</v>
      </c>
      <c r="I1016" s="1">
        <v>-24</v>
      </c>
      <c r="J1016" s="2">
        <v>16581.25</v>
      </c>
      <c r="K1016" s="2">
        <v>16581.25</v>
      </c>
      <c r="L1016" s="2">
        <v>16581.25</v>
      </c>
      <c r="M1016" s="2">
        <v>16581.25</v>
      </c>
      <c r="N1016" s="1" t="s">
        <v>36</v>
      </c>
      <c r="O1016" s="2">
        <v>1</v>
      </c>
      <c r="P1016" s="3">
        <f t="shared" si="30"/>
        <v>12435.9375</v>
      </c>
      <c r="Q1016" s="3" t="str">
        <f t="shared" si="31"/>
        <v>D5450516581.25</v>
      </c>
    </row>
    <row r="1017" spans="1:17" hidden="1">
      <c r="A1017" t="s">
        <v>29</v>
      </c>
      <c r="B1017" s="1" t="s">
        <v>1506</v>
      </c>
      <c r="C1017" s="1" t="s">
        <v>69</v>
      </c>
      <c r="D1017" s="1" t="s">
        <v>1974</v>
      </c>
      <c r="E1017" s="1" t="s">
        <v>471</v>
      </c>
      <c r="F1017" s="1"/>
      <c r="G1017" s="1" t="s">
        <v>1708</v>
      </c>
      <c r="H1017" s="1" t="s">
        <v>1971</v>
      </c>
      <c r="I1017" s="1">
        <v>-24</v>
      </c>
      <c r="J1017" s="2">
        <v>37290</v>
      </c>
      <c r="K1017" s="2">
        <v>37290</v>
      </c>
      <c r="L1017" s="2">
        <v>37290</v>
      </c>
      <c r="M1017" s="2">
        <v>37290</v>
      </c>
      <c r="N1017" s="1" t="s">
        <v>36</v>
      </c>
      <c r="O1017" s="2">
        <v>1</v>
      </c>
      <c r="P1017" s="3">
        <f t="shared" si="30"/>
        <v>27967.5</v>
      </c>
      <c r="Q1017" s="3" t="str">
        <f t="shared" si="31"/>
        <v>D5450737290</v>
      </c>
    </row>
    <row r="1018" spans="1:17" hidden="1">
      <c r="A1018" t="s">
        <v>29</v>
      </c>
      <c r="B1018" s="1" t="s">
        <v>1506</v>
      </c>
      <c r="C1018" s="1" t="s">
        <v>69</v>
      </c>
      <c r="D1018" s="1" t="s">
        <v>1975</v>
      </c>
      <c r="E1018" s="1" t="s">
        <v>471</v>
      </c>
      <c r="F1018" s="1"/>
      <c r="G1018" s="1" t="s">
        <v>1708</v>
      </c>
      <c r="H1018" s="1" t="s">
        <v>1971</v>
      </c>
      <c r="I1018" s="1">
        <v>-24</v>
      </c>
      <c r="J1018" s="2">
        <v>38137.5</v>
      </c>
      <c r="K1018" s="2">
        <v>38137.5</v>
      </c>
      <c r="L1018" s="2">
        <v>38137.5</v>
      </c>
      <c r="M1018" s="2">
        <v>38137.5</v>
      </c>
      <c r="N1018" s="1" t="s">
        <v>36</v>
      </c>
      <c r="O1018" s="2">
        <v>1</v>
      </c>
      <c r="P1018" s="3">
        <f t="shared" si="30"/>
        <v>28603.125</v>
      </c>
      <c r="Q1018" s="3" t="str">
        <f t="shared" si="31"/>
        <v>D5450838137.5</v>
      </c>
    </row>
    <row r="1019" spans="1:17" hidden="1">
      <c r="A1019" t="s">
        <v>29</v>
      </c>
      <c r="B1019" s="1" t="s">
        <v>1506</v>
      </c>
      <c r="C1019" s="1" t="s">
        <v>69</v>
      </c>
      <c r="D1019" s="1" t="s">
        <v>1976</v>
      </c>
      <c r="E1019" s="1" t="s">
        <v>471</v>
      </c>
      <c r="F1019" s="1"/>
      <c r="G1019" s="1" t="s">
        <v>1708</v>
      </c>
      <c r="H1019" s="1" t="s">
        <v>1971</v>
      </c>
      <c r="I1019" s="1">
        <v>-24</v>
      </c>
      <c r="J1019" s="2">
        <v>3729</v>
      </c>
      <c r="K1019" s="2">
        <v>3729</v>
      </c>
      <c r="L1019" s="2">
        <v>3729</v>
      </c>
      <c r="M1019" s="2">
        <v>3729</v>
      </c>
      <c r="N1019" s="1" t="s">
        <v>36</v>
      </c>
      <c r="O1019" s="2">
        <v>1</v>
      </c>
      <c r="P1019" s="3">
        <f t="shared" si="30"/>
        <v>2796.75</v>
      </c>
      <c r="Q1019" s="3" t="str">
        <f t="shared" si="31"/>
        <v>D545093729</v>
      </c>
    </row>
    <row r="1020" spans="1:17" hidden="1">
      <c r="A1020" t="s">
        <v>29</v>
      </c>
      <c r="B1020" s="1" t="s">
        <v>1506</v>
      </c>
      <c r="C1020" s="1" t="s">
        <v>69</v>
      </c>
      <c r="D1020" s="1" t="s">
        <v>1977</v>
      </c>
      <c r="E1020" s="1" t="s">
        <v>334</v>
      </c>
      <c r="F1020" s="1"/>
      <c r="G1020" s="1" t="s">
        <v>542</v>
      </c>
      <c r="H1020" s="1" t="s">
        <v>1971</v>
      </c>
      <c r="I1020" s="1">
        <v>-24</v>
      </c>
      <c r="J1020" s="2">
        <v>2317.59</v>
      </c>
      <c r="K1020" s="2">
        <v>2317.5946233</v>
      </c>
      <c r="L1020" s="2">
        <v>1672.11</v>
      </c>
      <c r="M1020" s="2">
        <v>1672.11</v>
      </c>
      <c r="N1020" s="1" t="s">
        <v>45</v>
      </c>
      <c r="O1020" s="2">
        <v>1.3860300000000001</v>
      </c>
      <c r="P1020" s="3">
        <f t="shared" si="30"/>
        <v>1672.11</v>
      </c>
      <c r="Q1020" s="3" t="str">
        <f t="shared" si="31"/>
        <v>29085584321672.11</v>
      </c>
    </row>
    <row r="1021" spans="1:17" hidden="1">
      <c r="A1021" t="s">
        <v>29</v>
      </c>
      <c r="B1021" s="1" t="s">
        <v>1506</v>
      </c>
      <c r="C1021" s="1" t="s">
        <v>69</v>
      </c>
      <c r="D1021" s="1" t="s">
        <v>1978</v>
      </c>
      <c r="E1021" s="1" t="s">
        <v>334</v>
      </c>
      <c r="F1021" s="1"/>
      <c r="G1021" s="1" t="s">
        <v>1979</v>
      </c>
      <c r="H1021" s="1" t="s">
        <v>1971</v>
      </c>
      <c r="I1021" s="1">
        <v>-24</v>
      </c>
      <c r="J1021" s="2">
        <v>2004.8</v>
      </c>
      <c r="K1021" s="2">
        <v>2004.7953729000001</v>
      </c>
      <c r="L1021" s="2">
        <v>1446.43</v>
      </c>
      <c r="M1021" s="2">
        <v>1446.43</v>
      </c>
      <c r="N1021" s="1" t="s">
        <v>45</v>
      </c>
      <c r="O1021" s="2">
        <v>1.3860300000000001</v>
      </c>
      <c r="P1021" s="3">
        <f t="shared" si="30"/>
        <v>1446.43</v>
      </c>
      <c r="Q1021" s="3" t="str">
        <f t="shared" si="31"/>
        <v>29085565631446.43</v>
      </c>
    </row>
    <row r="1022" spans="1:17" hidden="1">
      <c r="A1022" t="s">
        <v>29</v>
      </c>
      <c r="B1022" s="1" t="s">
        <v>1506</v>
      </c>
      <c r="C1022" s="1" t="s">
        <v>69</v>
      </c>
      <c r="D1022" s="1" t="s">
        <v>1980</v>
      </c>
      <c r="E1022" s="1" t="s">
        <v>334</v>
      </c>
      <c r="F1022" s="1"/>
      <c r="G1022" s="1" t="s">
        <v>1752</v>
      </c>
      <c r="H1022" s="1" t="s">
        <v>1971</v>
      </c>
      <c r="I1022" s="1">
        <v>-24</v>
      </c>
      <c r="J1022" s="2">
        <v>2146.4299999999998</v>
      </c>
      <c r="K1022" s="2">
        <v>2146.4337786000001</v>
      </c>
      <c r="L1022" s="2">
        <v>1548.62</v>
      </c>
      <c r="M1022" s="2">
        <v>1548.62</v>
      </c>
      <c r="N1022" s="1" t="s">
        <v>45</v>
      </c>
      <c r="O1022" s="2">
        <v>1.3860300000000001</v>
      </c>
      <c r="P1022" s="3">
        <f t="shared" si="30"/>
        <v>1548.62</v>
      </c>
      <c r="Q1022" s="3" t="str">
        <f t="shared" si="31"/>
        <v>29085565651548.62</v>
      </c>
    </row>
    <row r="1023" spans="1:17" hidden="1">
      <c r="A1023" t="s">
        <v>29</v>
      </c>
      <c r="B1023" s="1" t="s">
        <v>1506</v>
      </c>
      <c r="C1023" s="1" t="s">
        <v>69</v>
      </c>
      <c r="D1023" s="1" t="s">
        <v>1981</v>
      </c>
      <c r="E1023" s="1" t="s">
        <v>334</v>
      </c>
      <c r="F1023" s="1"/>
      <c r="G1023" s="1" t="s">
        <v>1677</v>
      </c>
      <c r="H1023" s="1" t="s">
        <v>1971</v>
      </c>
      <c r="I1023" s="1">
        <v>-24</v>
      </c>
      <c r="J1023" s="2">
        <v>3860.12</v>
      </c>
      <c r="K1023" s="2">
        <v>3860.1212706000001</v>
      </c>
      <c r="L1023" s="2">
        <v>2785.02</v>
      </c>
      <c r="M1023" s="2">
        <v>2785.02</v>
      </c>
      <c r="N1023" s="1" t="s">
        <v>45</v>
      </c>
      <c r="O1023" s="2">
        <v>1.3860300000000001</v>
      </c>
      <c r="P1023" s="3">
        <f t="shared" ref="P1023:P1080" si="32">IF(N1023="CAD",$P$1,1)*M1023</f>
        <v>2785.02</v>
      </c>
      <c r="Q1023" s="3" t="str">
        <f t="shared" ref="Q1023:Q1080" si="33">D1023&amp;M1023</f>
        <v>29085569892785.02</v>
      </c>
    </row>
    <row r="1024" spans="1:17" hidden="1">
      <c r="A1024" t="s">
        <v>29</v>
      </c>
      <c r="B1024" s="1" t="s">
        <v>1506</v>
      </c>
      <c r="C1024" s="1" t="s">
        <v>69</v>
      </c>
      <c r="D1024" s="1" t="s">
        <v>1982</v>
      </c>
      <c r="E1024" s="1" t="s">
        <v>334</v>
      </c>
      <c r="F1024" s="1"/>
      <c r="G1024" s="1" t="s">
        <v>1752</v>
      </c>
      <c r="H1024" s="1" t="s">
        <v>1971</v>
      </c>
      <c r="I1024" s="1">
        <v>-24</v>
      </c>
      <c r="J1024" s="2">
        <v>662.47</v>
      </c>
      <c r="K1024" s="2">
        <v>662.46689879999997</v>
      </c>
      <c r="L1024" s="2">
        <v>477.96</v>
      </c>
      <c r="M1024" s="2">
        <v>477.96</v>
      </c>
      <c r="N1024" s="1" t="s">
        <v>45</v>
      </c>
      <c r="O1024" s="2">
        <v>1.3860300000000001</v>
      </c>
      <c r="P1024" s="3">
        <f t="shared" si="32"/>
        <v>477.96</v>
      </c>
      <c r="Q1024" s="3" t="str">
        <f t="shared" si="33"/>
        <v>2908557882477.96</v>
      </c>
    </row>
    <row r="1025" spans="1:30" hidden="1">
      <c r="A1025" t="s">
        <v>29</v>
      </c>
      <c r="B1025" s="1" t="s">
        <v>1531</v>
      </c>
      <c r="C1025" s="1" t="s">
        <v>69</v>
      </c>
      <c r="D1025" s="1" t="s">
        <v>1983</v>
      </c>
      <c r="E1025" s="1" t="s">
        <v>580</v>
      </c>
      <c r="F1025" s="1"/>
      <c r="G1025" s="1" t="s">
        <v>1984</v>
      </c>
      <c r="H1025" s="1" t="s">
        <v>1985</v>
      </c>
      <c r="I1025" s="1">
        <v>-25</v>
      </c>
      <c r="J1025" s="2">
        <v>10437.42</v>
      </c>
      <c r="K1025" s="2">
        <v>10437.42421632</v>
      </c>
      <c r="L1025" s="2">
        <v>7525.12</v>
      </c>
      <c r="M1025" s="2">
        <v>7525.12</v>
      </c>
      <c r="N1025" s="1" t="s">
        <v>45</v>
      </c>
      <c r="O1025" s="2">
        <v>1.387011</v>
      </c>
      <c r="P1025" s="3">
        <f t="shared" si="32"/>
        <v>7525.12</v>
      </c>
      <c r="Q1025" s="3" t="str">
        <f t="shared" si="33"/>
        <v>1322007525.12</v>
      </c>
    </row>
    <row r="1026" spans="1:30" hidden="1">
      <c r="A1026" t="s">
        <v>29</v>
      </c>
      <c r="B1026" s="1" t="s">
        <v>1531</v>
      </c>
      <c r="C1026" s="1" t="s">
        <v>69</v>
      </c>
      <c r="D1026" s="1" t="s">
        <v>1986</v>
      </c>
      <c r="E1026" s="1" t="s">
        <v>580</v>
      </c>
      <c r="F1026" s="1"/>
      <c r="G1026" s="1" t="s">
        <v>1987</v>
      </c>
      <c r="H1026" s="1" t="s">
        <v>1985</v>
      </c>
      <c r="I1026" s="1">
        <v>-25</v>
      </c>
      <c r="J1026" s="2">
        <v>1940.03</v>
      </c>
      <c r="K1026" s="2">
        <v>1940.0261558100001</v>
      </c>
      <c r="L1026" s="2">
        <v>1398.71</v>
      </c>
      <c r="M1026" s="2">
        <v>1398.71</v>
      </c>
      <c r="N1026" s="1" t="s">
        <v>45</v>
      </c>
      <c r="O1026" s="2">
        <v>1.387011</v>
      </c>
      <c r="P1026" s="3">
        <f t="shared" si="32"/>
        <v>1398.71</v>
      </c>
      <c r="Q1026" s="3" t="str">
        <f t="shared" si="33"/>
        <v>1321981398.71</v>
      </c>
    </row>
    <row r="1027" spans="1:30" hidden="1">
      <c r="A1027" t="s">
        <v>29</v>
      </c>
      <c r="B1027" s="1" t="s">
        <v>1531</v>
      </c>
      <c r="C1027" s="1" t="s">
        <v>69</v>
      </c>
      <c r="D1027" s="1" t="s">
        <v>1988</v>
      </c>
      <c r="E1027" s="1" t="s">
        <v>1989</v>
      </c>
      <c r="F1027" s="1"/>
      <c r="G1027" s="1" t="s">
        <v>1990</v>
      </c>
      <c r="H1027" s="1" t="s">
        <v>1985</v>
      </c>
      <c r="I1027" s="1">
        <v>-25</v>
      </c>
      <c r="J1027" s="2">
        <v>47733.98</v>
      </c>
      <c r="K1027" s="2">
        <v>47733.983565000002</v>
      </c>
      <c r="L1027" s="2">
        <v>34415</v>
      </c>
      <c r="M1027" s="2">
        <v>34415</v>
      </c>
      <c r="N1027" s="1" t="s">
        <v>45</v>
      </c>
      <c r="O1027" s="2">
        <v>1.387011</v>
      </c>
      <c r="P1027" s="3">
        <f t="shared" si="32"/>
        <v>34415</v>
      </c>
      <c r="Q1027" s="3" t="str">
        <f t="shared" si="33"/>
        <v>15529534415</v>
      </c>
    </row>
    <row r="1028" spans="1:30" hidden="1">
      <c r="A1028" t="s">
        <v>29</v>
      </c>
      <c r="B1028" s="1" t="s">
        <v>1531</v>
      </c>
      <c r="C1028" s="1" t="s">
        <v>69</v>
      </c>
      <c r="D1028" s="1" t="s">
        <v>1991</v>
      </c>
      <c r="E1028" s="1" t="s">
        <v>334</v>
      </c>
      <c r="F1028" s="1"/>
      <c r="G1028" s="1" t="s">
        <v>874</v>
      </c>
      <c r="H1028" s="1" t="s">
        <v>1985</v>
      </c>
      <c r="I1028" s="1">
        <v>-25</v>
      </c>
      <c r="J1028" s="2">
        <v>547.15</v>
      </c>
      <c r="K1028" s="2">
        <v>547.14809928</v>
      </c>
      <c r="L1028" s="2">
        <v>394.48</v>
      </c>
      <c r="M1028" s="2">
        <v>394.48</v>
      </c>
      <c r="N1028" s="1" t="s">
        <v>45</v>
      </c>
      <c r="O1028" s="2">
        <v>1.387011</v>
      </c>
      <c r="P1028" s="3">
        <f t="shared" si="32"/>
        <v>394.48</v>
      </c>
      <c r="Q1028" s="3" t="str">
        <f t="shared" si="33"/>
        <v>2908559912394.48</v>
      </c>
    </row>
    <row r="1029" spans="1:30" hidden="1">
      <c r="A1029" t="s">
        <v>29</v>
      </c>
      <c r="B1029" s="1" t="s">
        <v>1562</v>
      </c>
      <c r="C1029" s="1" t="s">
        <v>69</v>
      </c>
      <c r="D1029" s="1" t="s">
        <v>1992</v>
      </c>
      <c r="E1029" s="1" t="s">
        <v>334</v>
      </c>
      <c r="F1029" s="1"/>
      <c r="G1029" s="1" t="s">
        <v>1748</v>
      </c>
      <c r="H1029" s="1" t="s">
        <v>1993</v>
      </c>
      <c r="I1029" s="1">
        <v>-26</v>
      </c>
      <c r="J1029" s="2">
        <v>66.55</v>
      </c>
      <c r="K1029" s="2">
        <v>66.549129500000006</v>
      </c>
      <c r="L1029" s="2">
        <v>47.81</v>
      </c>
      <c r="M1029" s="2">
        <v>47.81</v>
      </c>
      <c r="N1029" s="1" t="s">
        <v>45</v>
      </c>
      <c r="O1029" s="2">
        <v>1.39195</v>
      </c>
      <c r="P1029" s="3">
        <f t="shared" si="32"/>
        <v>47.81</v>
      </c>
      <c r="Q1029" s="3" t="str">
        <f t="shared" si="33"/>
        <v>290856213347.81</v>
      </c>
    </row>
    <row r="1030" spans="1:30" hidden="1">
      <c r="A1030" t="s">
        <v>29</v>
      </c>
      <c r="B1030" s="1" t="s">
        <v>1562</v>
      </c>
      <c r="C1030" s="1" t="s">
        <v>69</v>
      </c>
      <c r="D1030" s="1" t="s">
        <v>1994</v>
      </c>
      <c r="E1030" s="1" t="s">
        <v>334</v>
      </c>
      <c r="F1030" s="1"/>
      <c r="G1030" s="1" t="s">
        <v>1745</v>
      </c>
      <c r="H1030" s="1" t="s">
        <v>1993</v>
      </c>
      <c r="I1030" s="1">
        <v>-26</v>
      </c>
      <c r="J1030" s="2">
        <v>37304.26</v>
      </c>
      <c r="K1030" s="2">
        <v>37304.26</v>
      </c>
      <c r="L1030" s="2">
        <v>26800</v>
      </c>
      <c r="M1030" s="2">
        <v>26800</v>
      </c>
      <c r="N1030" s="1" t="s">
        <v>45</v>
      </c>
      <c r="O1030" s="2">
        <v>1.39195</v>
      </c>
      <c r="P1030" s="3">
        <f t="shared" si="32"/>
        <v>26800</v>
      </c>
      <c r="Q1030" s="3" t="str">
        <f t="shared" si="33"/>
        <v>190986271226800</v>
      </c>
    </row>
    <row r="1031" spans="1:30" hidden="1">
      <c r="A1031" t="s">
        <v>29</v>
      </c>
      <c r="B1031" s="1" t="s">
        <v>1562</v>
      </c>
      <c r="C1031" s="1" t="s">
        <v>69</v>
      </c>
      <c r="D1031" s="1" t="s">
        <v>1995</v>
      </c>
      <c r="E1031" s="1" t="s">
        <v>334</v>
      </c>
      <c r="F1031" s="1"/>
      <c r="G1031" s="1" t="s">
        <v>1677</v>
      </c>
      <c r="H1031" s="1" t="s">
        <v>1993</v>
      </c>
      <c r="I1031" s="1">
        <v>-26</v>
      </c>
      <c r="J1031" s="2">
        <v>2215.1999999999998</v>
      </c>
      <c r="K1031" s="2">
        <v>2215.2049080000002</v>
      </c>
      <c r="L1031" s="2">
        <v>1591.44</v>
      </c>
      <c r="M1031" s="2">
        <v>1591.44</v>
      </c>
      <c r="N1031" s="1" t="s">
        <v>45</v>
      </c>
      <c r="O1031" s="2">
        <v>1.39195</v>
      </c>
      <c r="P1031" s="3">
        <f t="shared" si="32"/>
        <v>1591.44</v>
      </c>
      <c r="Q1031" s="3" t="str">
        <f t="shared" si="33"/>
        <v>29085626701591.44</v>
      </c>
    </row>
    <row r="1032" spans="1:30" hidden="1">
      <c r="A1032" t="s">
        <v>29</v>
      </c>
      <c r="B1032" s="1" t="s">
        <v>1562</v>
      </c>
      <c r="C1032" s="1" t="s">
        <v>69</v>
      </c>
      <c r="D1032" s="1" t="s">
        <v>1996</v>
      </c>
      <c r="E1032" s="1" t="s">
        <v>334</v>
      </c>
      <c r="F1032" s="1"/>
      <c r="G1032" s="1" t="s">
        <v>1997</v>
      </c>
      <c r="H1032" s="1" t="s">
        <v>1993</v>
      </c>
      <c r="I1032" s="1">
        <v>-26</v>
      </c>
      <c r="J1032" s="2">
        <v>27.12</v>
      </c>
      <c r="K1032" s="2">
        <v>27.115186000000001</v>
      </c>
      <c r="L1032" s="2">
        <v>19.48</v>
      </c>
      <c r="M1032" s="2">
        <v>19.48</v>
      </c>
      <c r="N1032" s="1" t="s">
        <v>45</v>
      </c>
      <c r="O1032" s="2">
        <v>1.39195</v>
      </c>
      <c r="P1032" s="3">
        <f t="shared" si="32"/>
        <v>19.48</v>
      </c>
      <c r="Q1032" s="3" t="str">
        <f t="shared" si="33"/>
        <v>290856352919.48</v>
      </c>
    </row>
    <row r="1033" spans="1:30" hidden="1">
      <c r="A1033" t="s">
        <v>29</v>
      </c>
      <c r="B1033" s="1" t="s">
        <v>851</v>
      </c>
      <c r="C1033" s="1" t="s">
        <v>69</v>
      </c>
      <c r="D1033" s="1" t="s">
        <v>1998</v>
      </c>
      <c r="E1033" s="1" t="s">
        <v>813</v>
      </c>
      <c r="F1033" s="1" t="s">
        <v>814</v>
      </c>
      <c r="G1033" s="1" t="s">
        <v>1999</v>
      </c>
      <c r="H1033" s="1" t="s">
        <v>2000</v>
      </c>
      <c r="I1033" s="1">
        <v>-39</v>
      </c>
      <c r="J1033" s="2">
        <v>19209.900000000001</v>
      </c>
      <c r="K1033" s="2">
        <v>19209.901219700001</v>
      </c>
      <c r="L1033" s="2">
        <v>13873.1</v>
      </c>
      <c r="M1033" s="2">
        <v>13873.1</v>
      </c>
      <c r="N1033" s="1" t="s">
        <v>45</v>
      </c>
      <c r="O1033" s="2">
        <v>1.384687</v>
      </c>
      <c r="P1033" s="3">
        <f t="shared" si="32"/>
        <v>13873.1</v>
      </c>
      <c r="Q1033" s="3" t="str">
        <f t="shared" si="33"/>
        <v>950002714013873.1</v>
      </c>
      <c r="R1033" t="s">
        <v>74</v>
      </c>
      <c r="S1033" t="s">
        <v>155</v>
      </c>
    </row>
    <row r="1034" spans="1:30" hidden="1">
      <c r="A1034" t="s">
        <v>29</v>
      </c>
      <c r="B1034" s="1" t="s">
        <v>895</v>
      </c>
      <c r="C1034" s="1" t="s">
        <v>69</v>
      </c>
      <c r="D1034" s="1" t="s">
        <v>2001</v>
      </c>
      <c r="E1034" s="1" t="s">
        <v>813</v>
      </c>
      <c r="F1034" s="1" t="s">
        <v>814</v>
      </c>
      <c r="G1034" s="1" t="s">
        <v>1999</v>
      </c>
      <c r="H1034" s="1" t="s">
        <v>2002</v>
      </c>
      <c r="I1034" s="1">
        <v>-42</v>
      </c>
      <c r="J1034" s="2">
        <v>15289.17</v>
      </c>
      <c r="K1034" s="2">
        <v>15289.166161679999</v>
      </c>
      <c r="L1034" s="2">
        <v>11098.48</v>
      </c>
      <c r="M1034" s="2">
        <v>11098.48</v>
      </c>
      <c r="N1034" s="1" t="s">
        <v>45</v>
      </c>
      <c r="O1034" s="2">
        <v>1.377591</v>
      </c>
      <c r="P1034" s="3">
        <f t="shared" si="32"/>
        <v>11098.48</v>
      </c>
      <c r="Q1034" s="3" t="str">
        <f t="shared" si="33"/>
        <v>950002714111098.48</v>
      </c>
      <c r="R1034" t="s">
        <v>74</v>
      </c>
      <c r="S1034" t="s">
        <v>155</v>
      </c>
    </row>
    <row r="1035" spans="1:30" hidden="1">
      <c r="A1035" t="s">
        <v>29</v>
      </c>
      <c r="B1035" s="1" t="s">
        <v>1150</v>
      </c>
      <c r="C1035" s="1" t="s">
        <v>69</v>
      </c>
      <c r="D1035" s="1" t="s">
        <v>2003</v>
      </c>
      <c r="E1035" s="1" t="s">
        <v>813</v>
      </c>
      <c r="F1035" s="1" t="s">
        <v>814</v>
      </c>
      <c r="G1035" s="1" t="s">
        <v>1999</v>
      </c>
      <c r="H1035" s="1" t="s">
        <v>2004</v>
      </c>
      <c r="I1035" s="1">
        <v>-53</v>
      </c>
      <c r="J1035" s="2">
        <v>76213.759999999995</v>
      </c>
      <c r="K1035" s="2">
        <v>76213.761591600007</v>
      </c>
      <c r="L1035" s="2">
        <v>55492.4</v>
      </c>
      <c r="M1035" s="2">
        <v>55492.4</v>
      </c>
      <c r="N1035" s="1" t="s">
        <v>45</v>
      </c>
      <c r="O1035" s="2">
        <v>1.3734090000000001</v>
      </c>
      <c r="P1035" s="3">
        <f t="shared" si="32"/>
        <v>55492.4</v>
      </c>
      <c r="Q1035" s="3" t="str">
        <f t="shared" si="33"/>
        <v>950002723255492.4</v>
      </c>
      <c r="R1035" t="s">
        <v>74</v>
      </c>
      <c r="S1035" t="s">
        <v>155</v>
      </c>
      <c r="AB1035" t="s">
        <v>1404</v>
      </c>
    </row>
    <row r="1036" spans="1:30" hidden="1">
      <c r="A1036" t="s">
        <v>2005</v>
      </c>
      <c r="B1036" t="s">
        <v>50</v>
      </c>
      <c r="C1036" t="s">
        <v>31</v>
      </c>
      <c r="D1036" t="s">
        <v>32</v>
      </c>
      <c r="E1036" t="s">
        <v>2006</v>
      </c>
      <c r="F1036" s="1" t="s">
        <v>2007</v>
      </c>
      <c r="G1036" t="s">
        <v>35</v>
      </c>
      <c r="H1036" t="s">
        <v>50</v>
      </c>
      <c r="I1036">
        <v>246</v>
      </c>
      <c r="J1036">
        <v>-11250</v>
      </c>
      <c r="K1036">
        <v>-11250</v>
      </c>
      <c r="L1036">
        <v>-11250</v>
      </c>
      <c r="M1036">
        <v>-11250</v>
      </c>
      <c r="N1036" t="s">
        <v>45</v>
      </c>
      <c r="O1036">
        <v>1</v>
      </c>
      <c r="P1036" s="3">
        <f t="shared" si="32"/>
        <v>-11250</v>
      </c>
      <c r="Q1036" s="3" t="str">
        <f t="shared" si="33"/>
        <v>-11250</v>
      </c>
      <c r="R1036" t="s">
        <v>2008</v>
      </c>
      <c r="AA1036" t="s">
        <v>39</v>
      </c>
      <c r="AB1036" t="s">
        <v>40</v>
      </c>
    </row>
    <row r="1037" spans="1:30" hidden="1">
      <c r="A1037" t="s">
        <v>2005</v>
      </c>
      <c r="B1037" t="s">
        <v>56</v>
      </c>
      <c r="C1037" t="s">
        <v>31</v>
      </c>
      <c r="D1037" t="s">
        <v>32</v>
      </c>
      <c r="E1037" t="s">
        <v>2009</v>
      </c>
      <c r="F1037" s="1" t="s">
        <v>2010</v>
      </c>
      <c r="G1037" t="s">
        <v>2011</v>
      </c>
      <c r="H1037" t="s">
        <v>56</v>
      </c>
      <c r="I1037">
        <v>225</v>
      </c>
      <c r="J1037">
        <v>-27047.13</v>
      </c>
      <c r="K1037">
        <v>-27047.13</v>
      </c>
      <c r="L1037">
        <v>-27047.13</v>
      </c>
      <c r="M1037">
        <v>-27047.13</v>
      </c>
      <c r="N1037" t="s">
        <v>45</v>
      </c>
      <c r="O1037">
        <v>1</v>
      </c>
      <c r="P1037" s="3">
        <f t="shared" si="32"/>
        <v>-27047.13</v>
      </c>
      <c r="Q1037" s="3" t="str">
        <f t="shared" si="33"/>
        <v>-27047.13</v>
      </c>
      <c r="R1037" t="s">
        <v>37</v>
      </c>
      <c r="AB1037" t="s">
        <v>40</v>
      </c>
    </row>
    <row r="1038" spans="1:30" hidden="1">
      <c r="A1038" t="s">
        <v>2005</v>
      </c>
      <c r="B1038" t="s">
        <v>2012</v>
      </c>
      <c r="C1038" t="s">
        <v>69</v>
      </c>
      <c r="D1038" t="s">
        <v>2013</v>
      </c>
      <c r="E1038" t="s">
        <v>2014</v>
      </c>
      <c r="F1038" s="1" t="s">
        <v>2015</v>
      </c>
      <c r="G1038" t="s">
        <v>2016</v>
      </c>
      <c r="H1038" t="s">
        <v>61</v>
      </c>
      <c r="I1038">
        <v>223</v>
      </c>
      <c r="J1038">
        <v>347.88</v>
      </c>
      <c r="K1038">
        <v>347.88</v>
      </c>
      <c r="L1038">
        <v>347.88</v>
      </c>
      <c r="M1038">
        <v>347.88</v>
      </c>
      <c r="N1038" t="s">
        <v>45</v>
      </c>
      <c r="O1038">
        <v>1</v>
      </c>
      <c r="P1038" s="3">
        <f t="shared" si="32"/>
        <v>347.88</v>
      </c>
      <c r="Q1038" s="3" t="str">
        <f t="shared" si="33"/>
        <v>INV08987876347.88</v>
      </c>
      <c r="R1038" t="s">
        <v>1191</v>
      </c>
      <c r="S1038" t="s">
        <v>60</v>
      </c>
      <c r="T1038" t="s">
        <v>2017</v>
      </c>
      <c r="AB1038" t="s">
        <v>85</v>
      </c>
      <c r="AC1038" t="s">
        <v>2018</v>
      </c>
    </row>
    <row r="1039" spans="1:30" hidden="1">
      <c r="A1039" t="s">
        <v>2005</v>
      </c>
      <c r="B1039" t="s">
        <v>2019</v>
      </c>
      <c r="C1039" t="s">
        <v>69</v>
      </c>
      <c r="D1039" t="s">
        <v>2020</v>
      </c>
      <c r="E1039" t="s">
        <v>2014</v>
      </c>
      <c r="F1039" s="1" t="s">
        <v>2015</v>
      </c>
      <c r="G1039" t="s">
        <v>2021</v>
      </c>
      <c r="H1039" t="s">
        <v>64</v>
      </c>
      <c r="I1039">
        <v>211</v>
      </c>
      <c r="J1039">
        <v>345.08</v>
      </c>
      <c r="K1039">
        <v>345.08</v>
      </c>
      <c r="L1039">
        <v>345.08</v>
      </c>
      <c r="M1039">
        <v>345.08</v>
      </c>
      <c r="N1039" t="s">
        <v>45</v>
      </c>
      <c r="O1039">
        <v>1</v>
      </c>
      <c r="P1039" s="3">
        <f t="shared" si="32"/>
        <v>345.08</v>
      </c>
      <c r="Q1039" s="3" t="str">
        <f t="shared" si="33"/>
        <v>INV09009043345.08</v>
      </c>
      <c r="R1039" t="s">
        <v>1191</v>
      </c>
      <c r="S1039" t="s">
        <v>60</v>
      </c>
      <c r="T1039" t="s">
        <v>2017</v>
      </c>
      <c r="AB1039" t="e">
        <v>#VALUE!</v>
      </c>
      <c r="AC1039" t="s">
        <v>2018</v>
      </c>
      <c r="AD1039" t="s">
        <v>2022</v>
      </c>
    </row>
    <row r="1040" spans="1:30" hidden="1">
      <c r="A1040" t="s">
        <v>2005</v>
      </c>
      <c r="B1040" t="s">
        <v>81</v>
      </c>
      <c r="C1040" t="s">
        <v>69</v>
      </c>
      <c r="D1040" t="s">
        <v>2023</v>
      </c>
      <c r="E1040" t="s">
        <v>2024</v>
      </c>
      <c r="F1040" s="1" t="s">
        <v>2025</v>
      </c>
      <c r="G1040" t="s">
        <v>32</v>
      </c>
      <c r="H1040" t="s">
        <v>81</v>
      </c>
      <c r="I1040">
        <v>196</v>
      </c>
      <c r="J1040">
        <v>8968</v>
      </c>
      <c r="K1040">
        <v>8968</v>
      </c>
      <c r="L1040">
        <v>8968</v>
      </c>
      <c r="M1040">
        <v>8968</v>
      </c>
      <c r="N1040" t="s">
        <v>45</v>
      </c>
      <c r="O1040">
        <v>1</v>
      </c>
      <c r="P1040" s="3">
        <f t="shared" si="32"/>
        <v>8968</v>
      </c>
      <c r="Q1040" s="3" t="str">
        <f t="shared" si="33"/>
        <v>6098188968</v>
      </c>
      <c r="AB1040" t="s">
        <v>85</v>
      </c>
    </row>
    <row r="1041" spans="1:30" hidden="1">
      <c r="A1041" t="s">
        <v>2005</v>
      </c>
      <c r="B1041" t="s">
        <v>2026</v>
      </c>
      <c r="C1041" t="s">
        <v>2027</v>
      </c>
      <c r="D1041" t="s">
        <v>32</v>
      </c>
      <c r="E1041" t="s">
        <v>1423</v>
      </c>
      <c r="F1041" s="1" t="s">
        <v>1424</v>
      </c>
      <c r="G1041" t="s">
        <v>32</v>
      </c>
      <c r="H1041" t="s">
        <v>2026</v>
      </c>
      <c r="I1041">
        <v>176</v>
      </c>
      <c r="J1041">
        <v>-6796.76</v>
      </c>
      <c r="K1041">
        <v>-29.84</v>
      </c>
      <c r="L1041">
        <v>-6796.76</v>
      </c>
      <c r="M1041">
        <v>-29.84</v>
      </c>
      <c r="N1041" t="s">
        <v>45</v>
      </c>
      <c r="O1041">
        <v>1</v>
      </c>
      <c r="P1041" s="3">
        <f t="shared" si="32"/>
        <v>-29.84</v>
      </c>
      <c r="Q1041" s="3" t="str">
        <f t="shared" si="33"/>
        <v>-29.84</v>
      </c>
      <c r="AB1041" t="s">
        <v>40</v>
      </c>
    </row>
    <row r="1042" spans="1:30" hidden="1">
      <c r="A1042" t="s">
        <v>2005</v>
      </c>
      <c r="B1042" t="s">
        <v>120</v>
      </c>
      <c r="C1042" t="s">
        <v>31</v>
      </c>
      <c r="D1042" t="s">
        <v>32</v>
      </c>
      <c r="E1042" t="s">
        <v>2028</v>
      </c>
      <c r="F1042" s="1" t="s">
        <v>2029</v>
      </c>
      <c r="G1042" t="s">
        <v>2030</v>
      </c>
      <c r="H1042" t="s">
        <v>120</v>
      </c>
      <c r="I1042">
        <v>169</v>
      </c>
      <c r="J1042">
        <v>-3627.67</v>
      </c>
      <c r="K1042">
        <v>-3627.672489</v>
      </c>
      <c r="L1042">
        <v>-105830</v>
      </c>
      <c r="M1042">
        <v>-105830</v>
      </c>
      <c r="N1042" t="s">
        <v>2031</v>
      </c>
      <c r="O1042">
        <v>3.4278299999999998E-2</v>
      </c>
      <c r="P1042" s="3">
        <f t="shared" si="32"/>
        <v>-105830</v>
      </c>
      <c r="Q1042" s="3" t="str">
        <f t="shared" si="33"/>
        <v>-105830</v>
      </c>
      <c r="R1042" t="s">
        <v>37</v>
      </c>
      <c r="AB1042" t="s">
        <v>40</v>
      </c>
    </row>
    <row r="1043" spans="1:30" hidden="1">
      <c r="A1043" t="s">
        <v>2005</v>
      </c>
      <c r="B1043" t="s">
        <v>2032</v>
      </c>
      <c r="C1043" t="s">
        <v>31</v>
      </c>
      <c r="D1043" t="s">
        <v>32</v>
      </c>
      <c r="E1043" t="s">
        <v>2028</v>
      </c>
      <c r="F1043" s="1" t="s">
        <v>2029</v>
      </c>
      <c r="G1043" t="s">
        <v>2033</v>
      </c>
      <c r="H1043" t="s">
        <v>2032</v>
      </c>
      <c r="I1043">
        <v>159</v>
      </c>
      <c r="J1043">
        <v>-1308.26</v>
      </c>
      <c r="K1043">
        <v>-1308.25985216</v>
      </c>
      <c r="L1043">
        <v>-38987.360000000001</v>
      </c>
      <c r="M1043">
        <v>-38987.360000000001</v>
      </c>
      <c r="N1043" t="s">
        <v>2031</v>
      </c>
      <c r="O1043">
        <v>3.3556000000000002E-2</v>
      </c>
      <c r="P1043" s="3">
        <f t="shared" si="32"/>
        <v>-38987.360000000001</v>
      </c>
      <c r="Q1043" s="3" t="str">
        <f t="shared" si="33"/>
        <v>-38987.36</v>
      </c>
      <c r="R1043" t="s">
        <v>37</v>
      </c>
      <c r="AB1043" t="s">
        <v>40</v>
      </c>
    </row>
    <row r="1044" spans="1:30" hidden="1">
      <c r="A1044" t="s">
        <v>2005</v>
      </c>
      <c r="B1044" t="s">
        <v>148</v>
      </c>
      <c r="C1044" t="s">
        <v>31</v>
      </c>
      <c r="D1044" t="s">
        <v>32</v>
      </c>
      <c r="E1044" t="s">
        <v>2028</v>
      </c>
      <c r="F1044" s="1" t="s">
        <v>2029</v>
      </c>
      <c r="G1044" t="s">
        <v>2034</v>
      </c>
      <c r="H1044" t="s">
        <v>148</v>
      </c>
      <c r="I1044">
        <v>146</v>
      </c>
      <c r="J1044">
        <v>-5886.82</v>
      </c>
      <c r="K1044">
        <v>-5886.8200520800001</v>
      </c>
      <c r="L1044">
        <v>-178269.64</v>
      </c>
      <c r="M1044">
        <v>-178269.64</v>
      </c>
      <c r="N1044" t="s">
        <v>2031</v>
      </c>
      <c r="O1044">
        <v>3.3022000000000003E-2</v>
      </c>
      <c r="P1044" s="3">
        <f t="shared" si="32"/>
        <v>-178269.64</v>
      </c>
      <c r="Q1044" s="3" t="str">
        <f t="shared" si="33"/>
        <v>-178269.64</v>
      </c>
      <c r="R1044" t="s">
        <v>37</v>
      </c>
      <c r="AB1044" t="s">
        <v>40</v>
      </c>
    </row>
    <row r="1045" spans="1:30" hidden="1">
      <c r="A1045" t="s">
        <v>2005</v>
      </c>
      <c r="B1045" t="s">
        <v>2035</v>
      </c>
      <c r="C1045" t="s">
        <v>69</v>
      </c>
      <c r="D1045" t="s">
        <v>2036</v>
      </c>
      <c r="E1045" t="s">
        <v>2037</v>
      </c>
      <c r="F1045" s="1" t="s">
        <v>2038</v>
      </c>
      <c r="G1045" t="s">
        <v>2039</v>
      </c>
      <c r="H1045" t="s">
        <v>2035</v>
      </c>
      <c r="I1045">
        <v>145</v>
      </c>
      <c r="J1045">
        <v>39630</v>
      </c>
      <c r="K1045">
        <v>270</v>
      </c>
      <c r="L1045">
        <v>39630</v>
      </c>
      <c r="M1045">
        <v>270</v>
      </c>
      <c r="N1045" t="s">
        <v>45</v>
      </c>
      <c r="O1045">
        <v>1</v>
      </c>
      <c r="P1045" s="3">
        <f t="shared" si="32"/>
        <v>270</v>
      </c>
      <c r="Q1045" s="3" t="str">
        <f t="shared" si="33"/>
        <v>INV18548270</v>
      </c>
      <c r="R1045" t="s">
        <v>74</v>
      </c>
      <c r="S1045" t="s">
        <v>60</v>
      </c>
      <c r="T1045" t="s">
        <v>102</v>
      </c>
    </row>
    <row r="1046" spans="1:30" hidden="1">
      <c r="A1046" t="s">
        <v>2005</v>
      </c>
      <c r="B1046" t="s">
        <v>125</v>
      </c>
      <c r="C1046" t="s">
        <v>31</v>
      </c>
      <c r="D1046" t="s">
        <v>32</v>
      </c>
      <c r="E1046" t="s">
        <v>2028</v>
      </c>
      <c r="F1046" s="1" t="s">
        <v>2029</v>
      </c>
      <c r="G1046" t="s">
        <v>2040</v>
      </c>
      <c r="H1046" t="s">
        <v>125</v>
      </c>
      <c r="I1046">
        <v>139</v>
      </c>
      <c r="J1046">
        <v>-23225.51</v>
      </c>
      <c r="K1046">
        <v>-23225.509946999999</v>
      </c>
      <c r="L1046">
        <v>-710586.2</v>
      </c>
      <c r="M1046">
        <v>-710586.2</v>
      </c>
      <c r="N1046" t="s">
        <v>2031</v>
      </c>
      <c r="O1046">
        <v>3.2684999999999999E-2</v>
      </c>
      <c r="P1046" s="3">
        <f t="shared" si="32"/>
        <v>-710586.2</v>
      </c>
      <c r="Q1046" s="3" t="str">
        <f t="shared" si="33"/>
        <v>-710586.2</v>
      </c>
      <c r="R1046" t="s">
        <v>37</v>
      </c>
      <c r="AB1046" t="s">
        <v>40</v>
      </c>
    </row>
    <row r="1047" spans="1:30" hidden="1">
      <c r="A1047" t="s">
        <v>2005</v>
      </c>
      <c r="B1047" t="s">
        <v>173</v>
      </c>
      <c r="C1047" t="s">
        <v>69</v>
      </c>
      <c r="D1047" t="s">
        <v>2041</v>
      </c>
      <c r="E1047" t="s">
        <v>2042</v>
      </c>
      <c r="F1047" s="1" t="s">
        <v>2043</v>
      </c>
      <c r="G1047" t="s">
        <v>2044</v>
      </c>
      <c r="H1047" t="s">
        <v>167</v>
      </c>
      <c r="I1047">
        <v>134</v>
      </c>
      <c r="J1047">
        <v>4057.08</v>
      </c>
      <c r="K1047">
        <v>4057.08</v>
      </c>
      <c r="L1047">
        <v>4057.08</v>
      </c>
      <c r="M1047">
        <v>4057.08</v>
      </c>
      <c r="N1047" t="s">
        <v>45</v>
      </c>
      <c r="O1047">
        <v>1</v>
      </c>
      <c r="P1047" s="3">
        <f t="shared" si="32"/>
        <v>4057.08</v>
      </c>
      <c r="Q1047" s="3" t="str">
        <f t="shared" si="33"/>
        <v>122022108737_Sep4057.08</v>
      </c>
      <c r="R1047" t="s">
        <v>318</v>
      </c>
      <c r="S1047" t="s">
        <v>60</v>
      </c>
      <c r="T1047" t="s">
        <v>2045</v>
      </c>
      <c r="AB1047" t="s">
        <v>85</v>
      </c>
      <c r="AD1047" t="s">
        <v>2046</v>
      </c>
    </row>
    <row r="1048" spans="1:30" hidden="1">
      <c r="A1048" t="s">
        <v>2005</v>
      </c>
      <c r="B1048" t="s">
        <v>103</v>
      </c>
      <c r="C1048" t="s">
        <v>69</v>
      </c>
      <c r="D1048" t="s">
        <v>2047</v>
      </c>
      <c r="E1048" t="s">
        <v>2014</v>
      </c>
      <c r="F1048" s="1" t="s">
        <v>2015</v>
      </c>
      <c r="G1048" t="s">
        <v>2021</v>
      </c>
      <c r="H1048" t="s">
        <v>191</v>
      </c>
      <c r="I1048">
        <v>131</v>
      </c>
      <c r="J1048">
        <v>365.26</v>
      </c>
      <c r="K1048">
        <v>341.2</v>
      </c>
      <c r="L1048">
        <v>365.26</v>
      </c>
      <c r="M1048">
        <v>341.2</v>
      </c>
      <c r="N1048" t="s">
        <v>45</v>
      </c>
      <c r="O1048">
        <v>1</v>
      </c>
      <c r="P1048" s="3">
        <f t="shared" si="32"/>
        <v>341.2</v>
      </c>
      <c r="Q1048" s="3" t="str">
        <f t="shared" si="33"/>
        <v>INV09402767341.2</v>
      </c>
      <c r="T1048" t="s">
        <v>2017</v>
      </c>
      <c r="AB1048" t="s">
        <v>85</v>
      </c>
      <c r="AD1048" t="s">
        <v>2022</v>
      </c>
    </row>
    <row r="1049" spans="1:30" hidden="1">
      <c r="A1049" t="s">
        <v>2005</v>
      </c>
      <c r="B1049" t="s">
        <v>2048</v>
      </c>
      <c r="C1049" t="s">
        <v>69</v>
      </c>
      <c r="D1049" t="s">
        <v>2049</v>
      </c>
      <c r="E1049" t="s">
        <v>2050</v>
      </c>
      <c r="F1049" s="1" t="s">
        <v>129</v>
      </c>
      <c r="G1049" t="s">
        <v>2051</v>
      </c>
      <c r="H1049" t="s">
        <v>249</v>
      </c>
      <c r="I1049">
        <v>120</v>
      </c>
      <c r="J1049">
        <v>3125000</v>
      </c>
      <c r="K1049">
        <v>3125000</v>
      </c>
      <c r="L1049">
        <v>3125000</v>
      </c>
      <c r="M1049">
        <v>3125000</v>
      </c>
      <c r="N1049" t="s">
        <v>45</v>
      </c>
      <c r="O1049">
        <v>1</v>
      </c>
      <c r="P1049" s="3">
        <f t="shared" si="32"/>
        <v>3125000</v>
      </c>
      <c r="Q1049" s="3" t="str">
        <f t="shared" si="33"/>
        <v>705167033125000</v>
      </c>
      <c r="R1049" t="s">
        <v>132</v>
      </c>
      <c r="AA1049" t="s">
        <v>67</v>
      </c>
    </row>
    <row r="1050" spans="1:30" hidden="1">
      <c r="A1050" t="s">
        <v>2005</v>
      </c>
      <c r="B1050" t="s">
        <v>2052</v>
      </c>
      <c r="C1050" t="s">
        <v>69</v>
      </c>
      <c r="D1050" t="s">
        <v>2053</v>
      </c>
      <c r="E1050" t="s">
        <v>2014</v>
      </c>
      <c r="F1050" s="1" t="s">
        <v>2015</v>
      </c>
      <c r="G1050" t="s">
        <v>2054</v>
      </c>
      <c r="H1050" t="s">
        <v>2055</v>
      </c>
      <c r="I1050">
        <v>119</v>
      </c>
      <c r="J1050">
        <v>362.33</v>
      </c>
      <c r="K1050">
        <v>362.33</v>
      </c>
      <c r="L1050">
        <v>362.33</v>
      </c>
      <c r="M1050">
        <v>362.33</v>
      </c>
      <c r="N1050" t="s">
        <v>45</v>
      </c>
      <c r="O1050">
        <v>1</v>
      </c>
      <c r="P1050" s="3">
        <f t="shared" si="32"/>
        <v>362.33</v>
      </c>
      <c r="Q1050" s="3" t="str">
        <f t="shared" si="33"/>
        <v>INV09423773362.33</v>
      </c>
      <c r="R1050" t="s">
        <v>1191</v>
      </c>
      <c r="S1050" t="s">
        <v>60</v>
      </c>
      <c r="T1050" t="s">
        <v>2017</v>
      </c>
      <c r="AB1050" t="e">
        <v>#VALUE!</v>
      </c>
      <c r="AC1050" t="s">
        <v>2018</v>
      </c>
      <c r="AD1050" t="s">
        <v>2022</v>
      </c>
    </row>
    <row r="1051" spans="1:30" hidden="1">
      <c r="A1051" t="s">
        <v>2005</v>
      </c>
      <c r="B1051" t="s">
        <v>145</v>
      </c>
      <c r="C1051" t="s">
        <v>69</v>
      </c>
      <c r="D1051" t="s">
        <v>2056</v>
      </c>
      <c r="E1051" t="s">
        <v>2057</v>
      </c>
      <c r="F1051" s="1" t="s">
        <v>2058</v>
      </c>
      <c r="G1051" t="s">
        <v>2059</v>
      </c>
      <c r="H1051" t="s">
        <v>261</v>
      </c>
      <c r="I1051">
        <v>117</v>
      </c>
      <c r="J1051">
        <v>200000</v>
      </c>
      <c r="K1051">
        <v>200000</v>
      </c>
      <c r="L1051">
        <v>200000</v>
      </c>
      <c r="M1051">
        <v>200000</v>
      </c>
      <c r="N1051" t="s">
        <v>45</v>
      </c>
      <c r="O1051">
        <v>1</v>
      </c>
      <c r="P1051" s="3">
        <f t="shared" si="32"/>
        <v>200000</v>
      </c>
      <c r="Q1051" s="3" t="str">
        <f t="shared" si="33"/>
        <v>TI-EXB-20250911-001200000</v>
      </c>
      <c r="R1051" t="s">
        <v>2060</v>
      </c>
      <c r="S1051" t="s">
        <v>60</v>
      </c>
      <c r="T1051" t="s">
        <v>2061</v>
      </c>
      <c r="AB1051" t="e">
        <v>#VALUE!</v>
      </c>
      <c r="AD1051" t="s">
        <v>2062</v>
      </c>
    </row>
    <row r="1052" spans="1:30" hidden="1">
      <c r="A1052" t="s">
        <v>2005</v>
      </c>
      <c r="B1052" t="s">
        <v>160</v>
      </c>
      <c r="C1052" t="s">
        <v>69</v>
      </c>
      <c r="D1052" t="s">
        <v>2063</v>
      </c>
      <c r="E1052" t="s">
        <v>2024</v>
      </c>
      <c r="F1052" s="1" t="s">
        <v>2025</v>
      </c>
      <c r="G1052" t="s">
        <v>32</v>
      </c>
      <c r="H1052" t="s">
        <v>160</v>
      </c>
      <c r="I1052">
        <v>110</v>
      </c>
      <c r="J1052">
        <v>627</v>
      </c>
      <c r="K1052">
        <v>627</v>
      </c>
      <c r="L1052">
        <v>627</v>
      </c>
      <c r="M1052">
        <v>627</v>
      </c>
      <c r="N1052" t="s">
        <v>45</v>
      </c>
      <c r="O1052">
        <v>1</v>
      </c>
      <c r="P1052" s="3">
        <f t="shared" si="32"/>
        <v>627</v>
      </c>
      <c r="Q1052" s="3" t="str">
        <f t="shared" si="33"/>
        <v>627163627</v>
      </c>
    </row>
    <row r="1053" spans="1:30" hidden="1">
      <c r="A1053" t="s">
        <v>2005</v>
      </c>
      <c r="B1053" t="s">
        <v>173</v>
      </c>
      <c r="C1053" t="s">
        <v>69</v>
      </c>
      <c r="D1053" t="s">
        <v>2064</v>
      </c>
      <c r="E1053" t="s">
        <v>2065</v>
      </c>
      <c r="F1053" s="1" t="s">
        <v>2066</v>
      </c>
      <c r="G1053" t="s">
        <v>2067</v>
      </c>
      <c r="H1053" t="s">
        <v>915</v>
      </c>
      <c r="I1053">
        <v>107</v>
      </c>
      <c r="J1053">
        <v>17200</v>
      </c>
      <c r="K1053">
        <v>17200</v>
      </c>
      <c r="L1053">
        <v>17200</v>
      </c>
      <c r="M1053">
        <v>17200</v>
      </c>
      <c r="N1053" t="s">
        <v>45</v>
      </c>
      <c r="O1053">
        <v>1</v>
      </c>
      <c r="P1053" s="3">
        <f t="shared" si="32"/>
        <v>17200</v>
      </c>
      <c r="Q1053" s="3" t="str">
        <f t="shared" si="33"/>
        <v>04561417200</v>
      </c>
      <c r="R1053" t="s">
        <v>395</v>
      </c>
    </row>
    <row r="1054" spans="1:30" hidden="1">
      <c r="A1054" t="s">
        <v>2005</v>
      </c>
      <c r="B1054" t="s">
        <v>173</v>
      </c>
      <c r="C1054" t="s">
        <v>69</v>
      </c>
      <c r="D1054" t="s">
        <v>2068</v>
      </c>
      <c r="E1054" t="s">
        <v>2042</v>
      </c>
      <c r="F1054" s="1" t="s">
        <v>2043</v>
      </c>
      <c r="G1054" t="s">
        <v>2069</v>
      </c>
      <c r="H1054" t="s">
        <v>173</v>
      </c>
      <c r="I1054">
        <v>104</v>
      </c>
      <c r="J1054">
        <v>1352.36</v>
      </c>
      <c r="K1054">
        <v>1352.36</v>
      </c>
      <c r="L1054">
        <v>1352.36</v>
      </c>
      <c r="M1054">
        <v>1352.36</v>
      </c>
      <c r="N1054" t="s">
        <v>45</v>
      </c>
      <c r="O1054">
        <v>1</v>
      </c>
      <c r="P1054" s="3">
        <f t="shared" si="32"/>
        <v>1352.36</v>
      </c>
      <c r="Q1054" s="3" t="str">
        <f t="shared" si="33"/>
        <v>122022108737_Oct1352.36</v>
      </c>
      <c r="R1054" t="s">
        <v>318</v>
      </c>
      <c r="S1054" t="s">
        <v>60</v>
      </c>
      <c r="T1054" t="s">
        <v>2045</v>
      </c>
      <c r="AB1054" t="s">
        <v>85</v>
      </c>
      <c r="AD1054" t="s">
        <v>2046</v>
      </c>
    </row>
    <row r="1055" spans="1:30" hidden="1">
      <c r="A1055" t="s">
        <v>2005</v>
      </c>
      <c r="B1055" t="s">
        <v>173</v>
      </c>
      <c r="C1055" t="s">
        <v>69</v>
      </c>
      <c r="D1055" t="s">
        <v>2070</v>
      </c>
      <c r="E1055" t="s">
        <v>1423</v>
      </c>
      <c r="F1055" s="1" t="s">
        <v>1424</v>
      </c>
      <c r="G1055" t="s">
        <v>2071</v>
      </c>
      <c r="H1055" t="s">
        <v>173</v>
      </c>
      <c r="I1055">
        <v>104</v>
      </c>
      <c r="J1055">
        <v>6988.18</v>
      </c>
      <c r="K1055">
        <v>29.84</v>
      </c>
      <c r="L1055">
        <v>6988.18</v>
      </c>
      <c r="M1055">
        <v>29.84</v>
      </c>
      <c r="N1055" t="s">
        <v>45</v>
      </c>
      <c r="O1055">
        <v>1</v>
      </c>
      <c r="P1055" s="3">
        <f t="shared" si="32"/>
        <v>29.84</v>
      </c>
      <c r="Q1055" s="3" t="str">
        <f t="shared" si="33"/>
        <v>TENSTORR00007_Oct2529.84</v>
      </c>
      <c r="AB1055" t="s">
        <v>85</v>
      </c>
    </row>
    <row r="1056" spans="1:30" hidden="1">
      <c r="A1056" t="s">
        <v>2005</v>
      </c>
      <c r="B1056" t="s">
        <v>2072</v>
      </c>
      <c r="C1056" t="s">
        <v>2073</v>
      </c>
      <c r="D1056" t="s">
        <v>2074</v>
      </c>
      <c r="E1056" t="s">
        <v>2075</v>
      </c>
      <c r="F1056" s="1" t="s">
        <v>2076</v>
      </c>
      <c r="G1056" t="s">
        <v>32</v>
      </c>
      <c r="H1056" t="s">
        <v>32</v>
      </c>
      <c r="I1056" t="s">
        <v>32</v>
      </c>
      <c r="J1056">
        <v>-639.65</v>
      </c>
      <c r="K1056">
        <v>-639.65</v>
      </c>
      <c r="L1056">
        <v>-639.65</v>
      </c>
      <c r="M1056">
        <v>-639.65</v>
      </c>
      <c r="N1056" t="s">
        <v>45</v>
      </c>
      <c r="O1056">
        <v>1</v>
      </c>
      <c r="P1056" s="3">
        <f t="shared" si="32"/>
        <v>-639.65</v>
      </c>
      <c r="Q1056" s="3" t="str">
        <f t="shared" si="33"/>
        <v>PMT27915 &amp; PMT49422-639.65</v>
      </c>
      <c r="R1056" t="s">
        <v>2077</v>
      </c>
      <c r="S1056" t="s">
        <v>2078</v>
      </c>
      <c r="AA1056" t="s">
        <v>39</v>
      </c>
      <c r="AB1056" t="s">
        <v>40</v>
      </c>
    </row>
    <row r="1057" spans="1:30" hidden="1">
      <c r="A1057" t="s">
        <v>2005</v>
      </c>
      <c r="B1057" t="s">
        <v>2079</v>
      </c>
      <c r="C1057" t="s">
        <v>2073</v>
      </c>
      <c r="D1057" t="s">
        <v>2080</v>
      </c>
      <c r="E1057" t="s">
        <v>2081</v>
      </c>
      <c r="F1057" s="1" t="s">
        <v>2082</v>
      </c>
      <c r="G1057" t="s">
        <v>2083</v>
      </c>
      <c r="H1057" t="s">
        <v>32</v>
      </c>
      <c r="I1057" t="s">
        <v>32</v>
      </c>
      <c r="J1057">
        <v>-2438.8200000000002</v>
      </c>
      <c r="K1057">
        <v>-2438.8200000000002</v>
      </c>
      <c r="L1057">
        <v>-2438.8200000000002</v>
      </c>
      <c r="M1057">
        <v>-2438.8200000000002</v>
      </c>
      <c r="N1057" t="s">
        <v>45</v>
      </c>
      <c r="O1057">
        <v>1</v>
      </c>
      <c r="P1057" s="3">
        <f t="shared" si="32"/>
        <v>-2438.8200000000002</v>
      </c>
      <c r="Q1057" s="3" t="str">
        <f t="shared" si="33"/>
        <v>0625-S-INV1-2438.82</v>
      </c>
      <c r="R1057" t="s">
        <v>1784</v>
      </c>
      <c r="S1057" t="s">
        <v>60</v>
      </c>
      <c r="T1057" t="s">
        <v>2084</v>
      </c>
      <c r="AA1057" t="s">
        <v>67</v>
      </c>
      <c r="AB1057" t="s">
        <v>40</v>
      </c>
    </row>
    <row r="1058" spans="1:30" hidden="1">
      <c r="A1058" t="s">
        <v>2005</v>
      </c>
      <c r="B1058" t="s">
        <v>119</v>
      </c>
      <c r="C1058" t="s">
        <v>2073</v>
      </c>
      <c r="D1058" t="s">
        <v>2085</v>
      </c>
      <c r="E1058" t="s">
        <v>2086</v>
      </c>
      <c r="F1058" s="1" t="s">
        <v>585</v>
      </c>
      <c r="G1058" t="s">
        <v>2087</v>
      </c>
      <c r="H1058" t="s">
        <v>32</v>
      </c>
      <c r="I1058" t="s">
        <v>32</v>
      </c>
      <c r="J1058">
        <v>-21072.400000000001</v>
      </c>
      <c r="K1058">
        <v>-21072.400000000001</v>
      </c>
      <c r="L1058">
        <v>-21072.400000000001</v>
      </c>
      <c r="M1058">
        <v>-21072.400000000001</v>
      </c>
      <c r="N1058" t="s">
        <v>45</v>
      </c>
      <c r="O1058">
        <v>1</v>
      </c>
      <c r="P1058" s="3">
        <f t="shared" si="32"/>
        <v>-21072.400000000001</v>
      </c>
      <c r="Q1058" s="3" t="str">
        <f t="shared" si="33"/>
        <v>989545175 02-21072.4</v>
      </c>
      <c r="R1058" t="s">
        <v>139</v>
      </c>
      <c r="S1058" t="s">
        <v>60</v>
      </c>
      <c r="AB1058" t="s">
        <v>40</v>
      </c>
    </row>
    <row r="1059" spans="1:30" hidden="1">
      <c r="A1059" t="s">
        <v>2005</v>
      </c>
      <c r="B1059" t="s">
        <v>173</v>
      </c>
      <c r="C1059" t="s">
        <v>2073</v>
      </c>
      <c r="D1059" t="s">
        <v>2088</v>
      </c>
      <c r="E1059" t="s">
        <v>2089</v>
      </c>
      <c r="F1059" s="1" t="s">
        <v>2090</v>
      </c>
      <c r="G1059" t="s">
        <v>2091</v>
      </c>
      <c r="H1059" t="s">
        <v>32</v>
      </c>
      <c r="I1059" t="s">
        <v>32</v>
      </c>
      <c r="J1059">
        <v>-746.2</v>
      </c>
      <c r="K1059">
        <v>-79.95</v>
      </c>
      <c r="L1059">
        <v>-746.2</v>
      </c>
      <c r="M1059">
        <v>-79.95</v>
      </c>
      <c r="N1059" t="s">
        <v>45</v>
      </c>
      <c r="O1059">
        <v>1</v>
      </c>
      <c r="P1059" s="3">
        <f t="shared" si="32"/>
        <v>-79.95</v>
      </c>
      <c r="Q1059" s="3" t="str">
        <f t="shared" si="33"/>
        <v>315032346-79.95</v>
      </c>
      <c r="R1059" t="s">
        <v>246</v>
      </c>
      <c r="S1059" t="s">
        <v>60</v>
      </c>
      <c r="AB1059" t="s">
        <v>40</v>
      </c>
    </row>
    <row r="1060" spans="1:30" hidden="1">
      <c r="A1060" t="s">
        <v>2005</v>
      </c>
      <c r="B1060" t="s">
        <v>2055</v>
      </c>
      <c r="C1060" t="s">
        <v>69</v>
      </c>
      <c r="D1060" t="s">
        <v>2092</v>
      </c>
      <c r="E1060" t="s">
        <v>2093</v>
      </c>
      <c r="F1060" s="1" t="s">
        <v>2094</v>
      </c>
      <c r="G1060" t="s">
        <v>2095</v>
      </c>
      <c r="H1060" t="s">
        <v>493</v>
      </c>
      <c r="I1060">
        <v>89</v>
      </c>
      <c r="J1060">
        <v>1435.9</v>
      </c>
      <c r="K1060">
        <v>1435.9</v>
      </c>
      <c r="L1060">
        <v>1435.9</v>
      </c>
      <c r="M1060">
        <v>1435.9</v>
      </c>
      <c r="N1060" t="s">
        <v>45</v>
      </c>
      <c r="O1060">
        <v>1</v>
      </c>
      <c r="P1060" s="3">
        <f t="shared" si="32"/>
        <v>1435.9</v>
      </c>
      <c r="Q1060" s="3" t="str">
        <f t="shared" si="33"/>
        <v>22921435.9</v>
      </c>
      <c r="R1060" t="s">
        <v>475</v>
      </c>
      <c r="AA1060" t="s">
        <v>84</v>
      </c>
      <c r="AB1060" t="e">
        <v>#VALUE!</v>
      </c>
      <c r="AD1060" t="s">
        <v>2096</v>
      </c>
    </row>
    <row r="1061" spans="1:30" hidden="1">
      <c r="A1061" t="s">
        <v>2005</v>
      </c>
      <c r="B1061" t="s">
        <v>96</v>
      </c>
      <c r="C1061" t="s">
        <v>69</v>
      </c>
      <c r="D1061" t="s">
        <v>2097</v>
      </c>
      <c r="E1061" t="s">
        <v>2098</v>
      </c>
      <c r="F1061" s="1" t="s">
        <v>2099</v>
      </c>
      <c r="G1061" t="s">
        <v>2100</v>
      </c>
      <c r="H1061" t="s">
        <v>522</v>
      </c>
      <c r="I1061">
        <v>85</v>
      </c>
      <c r="J1061">
        <v>16120</v>
      </c>
      <c r="K1061">
        <v>16120</v>
      </c>
      <c r="L1061">
        <v>16120</v>
      </c>
      <c r="M1061">
        <v>16120</v>
      </c>
      <c r="N1061" t="s">
        <v>45</v>
      </c>
      <c r="O1061">
        <v>1</v>
      </c>
      <c r="P1061" s="3">
        <f t="shared" si="32"/>
        <v>16120</v>
      </c>
      <c r="Q1061" s="3" t="str">
        <f t="shared" si="33"/>
        <v>SIN06865516120</v>
      </c>
    </row>
    <row r="1062" spans="1:30" hidden="1">
      <c r="A1062" t="s">
        <v>2005</v>
      </c>
      <c r="B1062" t="s">
        <v>213</v>
      </c>
      <c r="C1062" t="s">
        <v>69</v>
      </c>
      <c r="D1062" t="s">
        <v>2101</v>
      </c>
      <c r="E1062" t="s">
        <v>2102</v>
      </c>
      <c r="F1062" s="1" t="s">
        <v>2103</v>
      </c>
      <c r="G1062" t="s">
        <v>2104</v>
      </c>
      <c r="H1062" t="s">
        <v>2105</v>
      </c>
      <c r="I1062">
        <v>80</v>
      </c>
      <c r="J1062">
        <v>7995</v>
      </c>
      <c r="K1062">
        <v>7995</v>
      </c>
      <c r="L1062">
        <v>7995</v>
      </c>
      <c r="M1062">
        <v>7995</v>
      </c>
      <c r="N1062" t="s">
        <v>45</v>
      </c>
      <c r="O1062">
        <v>1</v>
      </c>
      <c r="P1062" s="3">
        <f t="shared" si="32"/>
        <v>7995</v>
      </c>
      <c r="Q1062" s="3" t="str">
        <f t="shared" si="33"/>
        <v>251773077995</v>
      </c>
      <c r="R1062" t="s">
        <v>285</v>
      </c>
      <c r="S1062" t="s">
        <v>60</v>
      </c>
    </row>
    <row r="1063" spans="1:30" hidden="1">
      <c r="A1063" t="s">
        <v>2005</v>
      </c>
      <c r="B1063" t="s">
        <v>96</v>
      </c>
      <c r="C1063" t="s">
        <v>69</v>
      </c>
      <c r="D1063" t="s">
        <v>2106</v>
      </c>
      <c r="E1063" t="s">
        <v>2098</v>
      </c>
      <c r="F1063" s="1" t="s">
        <v>2099</v>
      </c>
      <c r="G1063" t="s">
        <v>2100</v>
      </c>
      <c r="H1063" t="s">
        <v>573</v>
      </c>
      <c r="I1063">
        <v>78</v>
      </c>
      <c r="J1063">
        <v>6410</v>
      </c>
      <c r="K1063">
        <v>6410</v>
      </c>
      <c r="L1063">
        <v>6410</v>
      </c>
      <c r="M1063">
        <v>6410</v>
      </c>
      <c r="N1063" t="s">
        <v>45</v>
      </c>
      <c r="O1063">
        <v>1</v>
      </c>
      <c r="P1063" s="3">
        <f t="shared" si="32"/>
        <v>6410</v>
      </c>
      <c r="Q1063" s="3" t="str">
        <f t="shared" si="33"/>
        <v>SIN0687586410</v>
      </c>
    </row>
    <row r="1064" spans="1:30" hidden="1">
      <c r="A1064" t="s">
        <v>2005</v>
      </c>
      <c r="B1064" t="s">
        <v>173</v>
      </c>
      <c r="C1064" t="s">
        <v>69</v>
      </c>
      <c r="D1064" t="s">
        <v>2107</v>
      </c>
      <c r="E1064" t="s">
        <v>2108</v>
      </c>
      <c r="F1064" s="1" t="s">
        <v>2109</v>
      </c>
      <c r="G1064" t="s">
        <v>32</v>
      </c>
      <c r="H1064" t="s">
        <v>594</v>
      </c>
      <c r="I1064">
        <v>77</v>
      </c>
      <c r="J1064">
        <v>25711.25</v>
      </c>
      <c r="K1064">
        <v>25711.25</v>
      </c>
      <c r="L1064">
        <v>25711.25</v>
      </c>
      <c r="M1064">
        <v>25711.25</v>
      </c>
      <c r="N1064" t="s">
        <v>45</v>
      </c>
      <c r="O1064">
        <v>1</v>
      </c>
      <c r="P1064" s="3">
        <f t="shared" si="32"/>
        <v>25711.25</v>
      </c>
      <c r="Q1064" s="3" t="str">
        <f t="shared" si="33"/>
        <v>6712825711.25</v>
      </c>
      <c r="AB1064" t="e">
        <v>#VALUE!</v>
      </c>
      <c r="AD1064" t="s">
        <v>2110</v>
      </c>
    </row>
    <row r="1065" spans="1:30" hidden="1">
      <c r="A1065" t="s">
        <v>2005</v>
      </c>
      <c r="B1065" t="s">
        <v>281</v>
      </c>
      <c r="C1065" t="s">
        <v>69</v>
      </c>
      <c r="D1065" t="s">
        <v>2111</v>
      </c>
      <c r="E1065" t="s">
        <v>2112</v>
      </c>
      <c r="F1065" s="1" t="s">
        <v>2113</v>
      </c>
      <c r="G1065" t="s">
        <v>2114</v>
      </c>
      <c r="H1065" t="s">
        <v>280</v>
      </c>
      <c r="I1065">
        <v>76</v>
      </c>
      <c r="J1065">
        <v>10000</v>
      </c>
      <c r="K1065">
        <v>10000</v>
      </c>
      <c r="L1065">
        <v>10000</v>
      </c>
      <c r="M1065">
        <v>10000</v>
      </c>
      <c r="N1065" t="s">
        <v>45</v>
      </c>
      <c r="O1065">
        <v>1</v>
      </c>
      <c r="P1065" s="3">
        <f t="shared" si="32"/>
        <v>10000</v>
      </c>
      <c r="Q1065" s="3" t="str">
        <f t="shared" si="33"/>
        <v>15244910000</v>
      </c>
      <c r="R1065" t="s">
        <v>2115</v>
      </c>
      <c r="S1065" t="s">
        <v>233</v>
      </c>
      <c r="T1065" t="s">
        <v>102</v>
      </c>
      <c r="AB1065" t="e">
        <v>#VALUE!</v>
      </c>
      <c r="AD1065" t="s">
        <v>2116</v>
      </c>
    </row>
    <row r="1066" spans="1:30" hidden="1">
      <c r="A1066" t="s">
        <v>2005</v>
      </c>
      <c r="B1066" t="s">
        <v>288</v>
      </c>
      <c r="C1066" t="s">
        <v>69</v>
      </c>
      <c r="D1066" t="s">
        <v>2117</v>
      </c>
      <c r="E1066" t="s">
        <v>2118</v>
      </c>
      <c r="F1066" s="1" t="s">
        <v>2119</v>
      </c>
      <c r="G1066" t="s">
        <v>2120</v>
      </c>
      <c r="H1066" t="s">
        <v>293</v>
      </c>
      <c r="I1066">
        <v>75</v>
      </c>
      <c r="J1066">
        <v>19200</v>
      </c>
      <c r="K1066">
        <v>19200</v>
      </c>
      <c r="L1066">
        <v>19200</v>
      </c>
      <c r="M1066">
        <v>19200</v>
      </c>
      <c r="N1066" t="s">
        <v>45</v>
      </c>
      <c r="O1066">
        <v>1</v>
      </c>
      <c r="P1066" s="3">
        <f t="shared" si="32"/>
        <v>19200</v>
      </c>
      <c r="Q1066" s="3" t="str">
        <f t="shared" si="33"/>
        <v>318019200</v>
      </c>
      <c r="R1066" t="s">
        <v>2121</v>
      </c>
      <c r="S1066" t="s">
        <v>60</v>
      </c>
    </row>
    <row r="1067" spans="1:30" hidden="1">
      <c r="A1067" t="s">
        <v>2005</v>
      </c>
      <c r="B1067" t="s">
        <v>288</v>
      </c>
      <c r="C1067" t="s">
        <v>69</v>
      </c>
      <c r="D1067" t="s">
        <v>2122</v>
      </c>
      <c r="E1067" t="s">
        <v>2123</v>
      </c>
      <c r="F1067" s="1" t="s">
        <v>2124</v>
      </c>
      <c r="G1067" t="s">
        <v>2125</v>
      </c>
      <c r="H1067" t="s">
        <v>293</v>
      </c>
      <c r="I1067">
        <v>75</v>
      </c>
      <c r="J1067">
        <v>18720</v>
      </c>
      <c r="K1067">
        <v>18720</v>
      </c>
      <c r="L1067">
        <v>18720</v>
      </c>
      <c r="M1067">
        <v>18720</v>
      </c>
      <c r="N1067" t="s">
        <v>45</v>
      </c>
      <c r="O1067">
        <v>1</v>
      </c>
      <c r="P1067" s="3">
        <f t="shared" si="32"/>
        <v>18720</v>
      </c>
      <c r="Q1067" s="3" t="str">
        <f t="shared" si="33"/>
        <v>1102218720</v>
      </c>
      <c r="R1067" t="s">
        <v>2126</v>
      </c>
      <c r="S1067" t="s">
        <v>60</v>
      </c>
      <c r="AB1067" t="e">
        <v>#VALUE!</v>
      </c>
      <c r="AD1067" t="s">
        <v>2127</v>
      </c>
    </row>
    <row r="1068" spans="1:30" hidden="1">
      <c r="A1068" t="s">
        <v>2005</v>
      </c>
      <c r="B1068" t="s">
        <v>288</v>
      </c>
      <c r="C1068" t="s">
        <v>69</v>
      </c>
      <c r="D1068" t="s">
        <v>2128</v>
      </c>
      <c r="E1068" t="s">
        <v>2129</v>
      </c>
      <c r="F1068" s="1" t="s">
        <v>2129</v>
      </c>
      <c r="G1068" t="s">
        <v>2130</v>
      </c>
      <c r="H1068" t="s">
        <v>293</v>
      </c>
      <c r="I1068">
        <v>75</v>
      </c>
      <c r="J1068">
        <v>795</v>
      </c>
      <c r="K1068">
        <v>795</v>
      </c>
      <c r="L1068">
        <v>795</v>
      </c>
      <c r="M1068">
        <v>795</v>
      </c>
      <c r="N1068" t="s">
        <v>45</v>
      </c>
      <c r="O1068">
        <v>1</v>
      </c>
      <c r="P1068" s="3">
        <f t="shared" si="32"/>
        <v>795</v>
      </c>
      <c r="Q1068" s="3" t="str">
        <f t="shared" si="33"/>
        <v>361857795</v>
      </c>
      <c r="R1068" t="s">
        <v>37</v>
      </c>
      <c r="S1068" t="s">
        <v>60</v>
      </c>
      <c r="T1068" t="s">
        <v>102</v>
      </c>
    </row>
    <row r="1069" spans="1:30" hidden="1">
      <c r="A1069" t="s">
        <v>2005</v>
      </c>
      <c r="B1069" t="s">
        <v>288</v>
      </c>
      <c r="C1069" t="s">
        <v>69</v>
      </c>
      <c r="D1069" t="s">
        <v>2131</v>
      </c>
      <c r="E1069" t="s">
        <v>2132</v>
      </c>
      <c r="F1069" s="1" t="s">
        <v>2133</v>
      </c>
      <c r="G1069" t="s">
        <v>2134</v>
      </c>
      <c r="H1069" t="s">
        <v>293</v>
      </c>
      <c r="I1069">
        <v>75</v>
      </c>
      <c r="J1069">
        <v>4700</v>
      </c>
      <c r="K1069">
        <v>4700</v>
      </c>
      <c r="L1069">
        <v>4700</v>
      </c>
      <c r="M1069">
        <v>4700</v>
      </c>
      <c r="N1069" t="s">
        <v>45</v>
      </c>
      <c r="O1069">
        <v>1</v>
      </c>
      <c r="P1069" s="3">
        <f t="shared" si="32"/>
        <v>4700</v>
      </c>
      <c r="Q1069" s="3" t="str">
        <f t="shared" si="33"/>
        <v>2025-31334700</v>
      </c>
      <c r="R1069" t="s">
        <v>2135</v>
      </c>
      <c r="S1069" t="s">
        <v>60</v>
      </c>
      <c r="T1069" t="s">
        <v>102</v>
      </c>
    </row>
    <row r="1070" spans="1:30" hidden="1">
      <c r="A1070" t="s">
        <v>2005</v>
      </c>
      <c r="B1070" t="s">
        <v>288</v>
      </c>
      <c r="C1070" t="s">
        <v>69</v>
      </c>
      <c r="D1070" t="s">
        <v>2136</v>
      </c>
      <c r="E1070" t="s">
        <v>2132</v>
      </c>
      <c r="F1070" s="1" t="s">
        <v>2133</v>
      </c>
      <c r="G1070" t="s">
        <v>2134</v>
      </c>
      <c r="H1070" t="s">
        <v>293</v>
      </c>
      <c r="I1070">
        <v>75</v>
      </c>
      <c r="J1070">
        <v>800</v>
      </c>
      <c r="K1070">
        <v>800</v>
      </c>
      <c r="L1070">
        <v>800</v>
      </c>
      <c r="M1070">
        <v>800</v>
      </c>
      <c r="N1070" t="s">
        <v>45</v>
      </c>
      <c r="O1070">
        <v>1</v>
      </c>
      <c r="P1070" s="3">
        <f t="shared" si="32"/>
        <v>800</v>
      </c>
      <c r="Q1070" s="3" t="str">
        <f t="shared" si="33"/>
        <v>2025-3134800</v>
      </c>
      <c r="R1070" t="s">
        <v>2135</v>
      </c>
      <c r="S1070" t="s">
        <v>60</v>
      </c>
      <c r="T1070" t="s">
        <v>102</v>
      </c>
    </row>
    <row r="1071" spans="1:30" hidden="1">
      <c r="A1071" t="s">
        <v>2005</v>
      </c>
      <c r="B1071" t="s">
        <v>288</v>
      </c>
      <c r="C1071" t="s">
        <v>69</v>
      </c>
      <c r="D1071" t="s">
        <v>2137</v>
      </c>
      <c r="E1071" t="s">
        <v>2132</v>
      </c>
      <c r="F1071" s="1" t="s">
        <v>2133</v>
      </c>
      <c r="G1071" t="s">
        <v>2134</v>
      </c>
      <c r="H1071" t="s">
        <v>293</v>
      </c>
      <c r="I1071">
        <v>75</v>
      </c>
      <c r="J1071">
        <v>135</v>
      </c>
      <c r="K1071">
        <v>135</v>
      </c>
      <c r="L1071">
        <v>135</v>
      </c>
      <c r="M1071">
        <v>135</v>
      </c>
      <c r="N1071" t="s">
        <v>45</v>
      </c>
      <c r="O1071">
        <v>1</v>
      </c>
      <c r="P1071" s="3">
        <f t="shared" si="32"/>
        <v>135</v>
      </c>
      <c r="Q1071" s="3" t="str">
        <f t="shared" si="33"/>
        <v>2025-3135135</v>
      </c>
      <c r="R1071" t="s">
        <v>2135</v>
      </c>
      <c r="S1071" t="s">
        <v>60</v>
      </c>
      <c r="T1071" t="s">
        <v>102</v>
      </c>
    </row>
    <row r="1072" spans="1:30" hidden="1">
      <c r="A1072" t="s">
        <v>2005</v>
      </c>
      <c r="B1072" t="s">
        <v>288</v>
      </c>
      <c r="C1072" t="s">
        <v>69</v>
      </c>
      <c r="D1072" t="s">
        <v>2138</v>
      </c>
      <c r="E1072" t="s">
        <v>2132</v>
      </c>
      <c r="F1072" s="1" t="s">
        <v>2133</v>
      </c>
      <c r="G1072" t="s">
        <v>2134</v>
      </c>
      <c r="H1072" t="s">
        <v>293</v>
      </c>
      <c r="I1072">
        <v>75</v>
      </c>
      <c r="J1072">
        <v>800</v>
      </c>
      <c r="K1072">
        <v>800</v>
      </c>
      <c r="L1072">
        <v>800</v>
      </c>
      <c r="M1072">
        <v>800</v>
      </c>
      <c r="N1072" t="s">
        <v>45</v>
      </c>
      <c r="O1072">
        <v>1</v>
      </c>
      <c r="P1072" s="3">
        <f t="shared" si="32"/>
        <v>800</v>
      </c>
      <c r="Q1072" s="3" t="str">
        <f t="shared" si="33"/>
        <v>2025-3188800</v>
      </c>
      <c r="R1072" t="s">
        <v>2135</v>
      </c>
      <c r="S1072" t="s">
        <v>60</v>
      </c>
      <c r="T1072" t="s">
        <v>102</v>
      </c>
    </row>
    <row r="1073" spans="1:20" hidden="1">
      <c r="A1073" t="s">
        <v>2005</v>
      </c>
      <c r="B1073" t="s">
        <v>288</v>
      </c>
      <c r="C1073" t="s">
        <v>69</v>
      </c>
      <c r="D1073" t="s">
        <v>2139</v>
      </c>
      <c r="E1073" t="s">
        <v>2132</v>
      </c>
      <c r="F1073" s="1" t="s">
        <v>2133</v>
      </c>
      <c r="G1073" t="s">
        <v>2134</v>
      </c>
      <c r="H1073" t="s">
        <v>293</v>
      </c>
      <c r="I1073">
        <v>75</v>
      </c>
      <c r="J1073">
        <v>9820</v>
      </c>
      <c r="K1073">
        <v>9820</v>
      </c>
      <c r="L1073">
        <v>9820</v>
      </c>
      <c r="M1073">
        <v>9820</v>
      </c>
      <c r="N1073" t="s">
        <v>45</v>
      </c>
      <c r="O1073">
        <v>1</v>
      </c>
      <c r="P1073" s="3">
        <f t="shared" si="32"/>
        <v>9820</v>
      </c>
      <c r="Q1073" s="3" t="str">
        <f t="shared" si="33"/>
        <v>2025-32539820</v>
      </c>
      <c r="R1073" t="s">
        <v>2135</v>
      </c>
      <c r="S1073" t="s">
        <v>60</v>
      </c>
      <c r="T1073" t="s">
        <v>102</v>
      </c>
    </row>
    <row r="1074" spans="1:20" hidden="1">
      <c r="A1074" t="s">
        <v>2005</v>
      </c>
      <c r="B1074" t="s">
        <v>288</v>
      </c>
      <c r="C1074" t="s">
        <v>69</v>
      </c>
      <c r="D1074" t="s">
        <v>2140</v>
      </c>
      <c r="E1074" t="s">
        <v>2132</v>
      </c>
      <c r="F1074" s="1" t="s">
        <v>2133</v>
      </c>
      <c r="G1074" t="s">
        <v>2134</v>
      </c>
      <c r="H1074" t="s">
        <v>293</v>
      </c>
      <c r="I1074">
        <v>75</v>
      </c>
      <c r="J1074">
        <v>8810</v>
      </c>
      <c r="K1074">
        <v>8810</v>
      </c>
      <c r="L1074">
        <v>8810</v>
      </c>
      <c r="M1074">
        <v>8810</v>
      </c>
      <c r="N1074" t="s">
        <v>45</v>
      </c>
      <c r="O1074">
        <v>1</v>
      </c>
      <c r="P1074" s="3">
        <f t="shared" si="32"/>
        <v>8810</v>
      </c>
      <c r="Q1074" s="3" t="str">
        <f t="shared" si="33"/>
        <v>2025-32548810</v>
      </c>
      <c r="R1074" t="s">
        <v>2135</v>
      </c>
      <c r="S1074" t="s">
        <v>60</v>
      </c>
      <c r="T1074" t="s">
        <v>102</v>
      </c>
    </row>
    <row r="1075" spans="1:20" hidden="1">
      <c r="A1075" t="s">
        <v>2005</v>
      </c>
      <c r="B1075" t="s">
        <v>288</v>
      </c>
      <c r="C1075" t="s">
        <v>69</v>
      </c>
      <c r="D1075" t="s">
        <v>2141</v>
      </c>
      <c r="E1075" t="s">
        <v>2132</v>
      </c>
      <c r="F1075" s="1" t="s">
        <v>2133</v>
      </c>
      <c r="G1075" t="s">
        <v>2134</v>
      </c>
      <c r="H1075" t="s">
        <v>293</v>
      </c>
      <c r="I1075">
        <v>75</v>
      </c>
      <c r="J1075">
        <v>9820</v>
      </c>
      <c r="K1075">
        <v>9820</v>
      </c>
      <c r="L1075">
        <v>9820</v>
      </c>
      <c r="M1075">
        <v>9820</v>
      </c>
      <c r="N1075" t="s">
        <v>45</v>
      </c>
      <c r="O1075">
        <v>1</v>
      </c>
      <c r="P1075" s="3">
        <f t="shared" si="32"/>
        <v>9820</v>
      </c>
      <c r="Q1075" s="3" t="str">
        <f t="shared" si="33"/>
        <v>2025-32559820</v>
      </c>
      <c r="R1075" t="s">
        <v>2135</v>
      </c>
      <c r="S1075" t="s">
        <v>60</v>
      </c>
      <c r="T1075" t="s">
        <v>102</v>
      </c>
    </row>
    <row r="1076" spans="1:20" hidden="1">
      <c r="A1076" t="s">
        <v>2005</v>
      </c>
      <c r="B1076" t="s">
        <v>288</v>
      </c>
      <c r="C1076" t="s">
        <v>69</v>
      </c>
      <c r="D1076" t="s">
        <v>2142</v>
      </c>
      <c r="E1076" t="s">
        <v>2132</v>
      </c>
      <c r="F1076" s="1" t="s">
        <v>2133</v>
      </c>
      <c r="G1076" t="s">
        <v>2134</v>
      </c>
      <c r="H1076" t="s">
        <v>293</v>
      </c>
      <c r="I1076">
        <v>75</v>
      </c>
      <c r="J1076">
        <v>800</v>
      </c>
      <c r="K1076">
        <v>800</v>
      </c>
      <c r="L1076">
        <v>800</v>
      </c>
      <c r="M1076">
        <v>800</v>
      </c>
      <c r="N1076" t="s">
        <v>45</v>
      </c>
      <c r="O1076">
        <v>1</v>
      </c>
      <c r="P1076" s="3">
        <f t="shared" si="32"/>
        <v>800</v>
      </c>
      <c r="Q1076" s="3" t="str">
        <f t="shared" si="33"/>
        <v>2025-3256800</v>
      </c>
      <c r="R1076" t="s">
        <v>2135</v>
      </c>
      <c r="S1076" t="s">
        <v>60</v>
      </c>
      <c r="T1076" t="s">
        <v>102</v>
      </c>
    </row>
    <row r="1077" spans="1:20" hidden="1">
      <c r="A1077" t="s">
        <v>2005</v>
      </c>
      <c r="B1077" t="s">
        <v>288</v>
      </c>
      <c r="C1077" t="s">
        <v>69</v>
      </c>
      <c r="D1077" t="s">
        <v>2143</v>
      </c>
      <c r="E1077" t="s">
        <v>2132</v>
      </c>
      <c r="F1077" s="1" t="s">
        <v>2133</v>
      </c>
      <c r="G1077" t="s">
        <v>2134</v>
      </c>
      <c r="H1077" t="s">
        <v>293</v>
      </c>
      <c r="I1077">
        <v>75</v>
      </c>
      <c r="J1077">
        <v>800</v>
      </c>
      <c r="K1077">
        <v>800</v>
      </c>
      <c r="L1077">
        <v>800</v>
      </c>
      <c r="M1077">
        <v>800</v>
      </c>
      <c r="N1077" t="s">
        <v>45</v>
      </c>
      <c r="O1077">
        <v>1</v>
      </c>
      <c r="P1077" s="3">
        <f t="shared" si="32"/>
        <v>800</v>
      </c>
      <c r="Q1077" s="3" t="str">
        <f t="shared" si="33"/>
        <v>2025-3257800</v>
      </c>
      <c r="R1077" t="s">
        <v>2135</v>
      </c>
      <c r="S1077" t="s">
        <v>60</v>
      </c>
      <c r="T1077" t="s">
        <v>102</v>
      </c>
    </row>
    <row r="1078" spans="1:20" hidden="1">
      <c r="A1078" t="s">
        <v>2005</v>
      </c>
      <c r="B1078" t="s">
        <v>288</v>
      </c>
      <c r="C1078" t="s">
        <v>69</v>
      </c>
      <c r="D1078" t="s">
        <v>2144</v>
      </c>
      <c r="E1078" t="s">
        <v>2132</v>
      </c>
      <c r="F1078" s="1" t="s">
        <v>2133</v>
      </c>
      <c r="G1078" t="s">
        <v>2134</v>
      </c>
      <c r="H1078" t="s">
        <v>293</v>
      </c>
      <c r="I1078">
        <v>75</v>
      </c>
      <c r="J1078">
        <v>9740</v>
      </c>
      <c r="K1078">
        <v>9740</v>
      </c>
      <c r="L1078">
        <v>9740</v>
      </c>
      <c r="M1078">
        <v>9740</v>
      </c>
      <c r="N1078" t="s">
        <v>45</v>
      </c>
      <c r="O1078">
        <v>1</v>
      </c>
      <c r="P1078" s="3">
        <f t="shared" si="32"/>
        <v>9740</v>
      </c>
      <c r="Q1078" s="3" t="str">
        <f t="shared" si="33"/>
        <v>2025-32589740</v>
      </c>
      <c r="R1078" t="s">
        <v>2135</v>
      </c>
      <c r="S1078" t="s">
        <v>60</v>
      </c>
      <c r="T1078" t="s">
        <v>102</v>
      </c>
    </row>
    <row r="1079" spans="1:20" hidden="1">
      <c r="A1079" t="s">
        <v>2005</v>
      </c>
      <c r="B1079" t="s">
        <v>288</v>
      </c>
      <c r="C1079" t="s">
        <v>69</v>
      </c>
      <c r="D1079" t="s">
        <v>2145</v>
      </c>
      <c r="E1079" t="s">
        <v>2132</v>
      </c>
      <c r="F1079" s="1" t="s">
        <v>2133</v>
      </c>
      <c r="G1079" t="s">
        <v>2134</v>
      </c>
      <c r="H1079" t="s">
        <v>293</v>
      </c>
      <c r="I1079">
        <v>75</v>
      </c>
      <c r="J1079">
        <v>435</v>
      </c>
      <c r="K1079">
        <v>435</v>
      </c>
      <c r="L1079">
        <v>435</v>
      </c>
      <c r="M1079">
        <v>435</v>
      </c>
      <c r="N1079" t="s">
        <v>45</v>
      </c>
      <c r="O1079">
        <v>1</v>
      </c>
      <c r="P1079" s="3">
        <f t="shared" si="32"/>
        <v>435</v>
      </c>
      <c r="Q1079" s="3" t="str">
        <f t="shared" si="33"/>
        <v>2025-3259435</v>
      </c>
      <c r="R1079" t="s">
        <v>2135</v>
      </c>
      <c r="S1079" t="s">
        <v>60</v>
      </c>
      <c r="T1079" t="s">
        <v>102</v>
      </c>
    </row>
    <row r="1080" spans="1:20" hidden="1">
      <c r="A1080" t="s">
        <v>2005</v>
      </c>
      <c r="B1080" t="s">
        <v>288</v>
      </c>
      <c r="C1080" t="s">
        <v>69</v>
      </c>
      <c r="D1080" t="s">
        <v>2146</v>
      </c>
      <c r="E1080" t="s">
        <v>2132</v>
      </c>
      <c r="F1080" s="1" t="s">
        <v>2133</v>
      </c>
      <c r="G1080" t="s">
        <v>2134</v>
      </c>
      <c r="H1080" t="s">
        <v>293</v>
      </c>
      <c r="I1080">
        <v>75</v>
      </c>
      <c r="J1080">
        <v>460</v>
      </c>
      <c r="K1080">
        <v>460</v>
      </c>
      <c r="L1080">
        <v>460</v>
      </c>
      <c r="M1080">
        <v>460</v>
      </c>
      <c r="N1080" t="s">
        <v>45</v>
      </c>
      <c r="O1080">
        <v>1</v>
      </c>
      <c r="P1080" s="3">
        <f t="shared" si="32"/>
        <v>460</v>
      </c>
      <c r="Q1080" s="3" t="str">
        <f t="shared" si="33"/>
        <v>2025-3260460</v>
      </c>
      <c r="R1080" t="s">
        <v>2135</v>
      </c>
      <c r="S1080" t="s">
        <v>60</v>
      </c>
      <c r="T1080" t="s">
        <v>102</v>
      </c>
    </row>
    <row r="1081" spans="1:20" hidden="1">
      <c r="A1081" t="s">
        <v>2005</v>
      </c>
      <c r="B1081" t="s">
        <v>288</v>
      </c>
      <c r="C1081" t="s">
        <v>69</v>
      </c>
      <c r="D1081" t="s">
        <v>2147</v>
      </c>
      <c r="E1081" t="s">
        <v>2132</v>
      </c>
      <c r="F1081" s="1" t="s">
        <v>2133</v>
      </c>
      <c r="G1081" t="s">
        <v>2134</v>
      </c>
      <c r="H1081" t="s">
        <v>293</v>
      </c>
      <c r="I1081">
        <v>75</v>
      </c>
      <c r="J1081">
        <v>460</v>
      </c>
      <c r="K1081">
        <v>460</v>
      </c>
      <c r="L1081">
        <v>460</v>
      </c>
      <c r="M1081">
        <v>460</v>
      </c>
      <c r="N1081" t="s">
        <v>45</v>
      </c>
      <c r="O1081">
        <v>1</v>
      </c>
      <c r="P1081" s="3">
        <f t="shared" ref="P1081:P1142" si="34">IF(N1081="CAD",$P$1,1)*M1081</f>
        <v>460</v>
      </c>
      <c r="Q1081" s="3" t="str">
        <f t="shared" ref="Q1081:Q1142" si="35">D1081&amp;M1081</f>
        <v>2025-3261460</v>
      </c>
      <c r="R1081" t="s">
        <v>2135</v>
      </c>
      <c r="S1081" t="s">
        <v>60</v>
      </c>
      <c r="T1081" t="s">
        <v>102</v>
      </c>
    </row>
    <row r="1082" spans="1:20" hidden="1">
      <c r="A1082" t="s">
        <v>2005</v>
      </c>
      <c r="B1082" t="s">
        <v>288</v>
      </c>
      <c r="C1082" t="s">
        <v>69</v>
      </c>
      <c r="D1082" t="s">
        <v>2148</v>
      </c>
      <c r="E1082" t="s">
        <v>2132</v>
      </c>
      <c r="F1082" s="1" t="s">
        <v>2133</v>
      </c>
      <c r="G1082" t="s">
        <v>2134</v>
      </c>
      <c r="H1082" t="s">
        <v>293</v>
      </c>
      <c r="I1082">
        <v>75</v>
      </c>
      <c r="J1082">
        <v>435</v>
      </c>
      <c r="K1082">
        <v>435</v>
      </c>
      <c r="L1082">
        <v>435</v>
      </c>
      <c r="M1082">
        <v>435</v>
      </c>
      <c r="N1082" t="s">
        <v>45</v>
      </c>
      <c r="O1082">
        <v>1</v>
      </c>
      <c r="P1082" s="3">
        <f t="shared" si="34"/>
        <v>435</v>
      </c>
      <c r="Q1082" s="3" t="str">
        <f t="shared" si="35"/>
        <v>2025-3262435</v>
      </c>
      <c r="R1082" t="s">
        <v>2135</v>
      </c>
      <c r="S1082" t="s">
        <v>60</v>
      </c>
      <c r="T1082" t="s">
        <v>102</v>
      </c>
    </row>
    <row r="1083" spans="1:20" hidden="1">
      <c r="A1083" t="s">
        <v>2005</v>
      </c>
      <c r="B1083" t="s">
        <v>288</v>
      </c>
      <c r="C1083" t="s">
        <v>69</v>
      </c>
      <c r="D1083" t="s">
        <v>2149</v>
      </c>
      <c r="E1083" t="s">
        <v>2132</v>
      </c>
      <c r="F1083" s="1" t="s">
        <v>2133</v>
      </c>
      <c r="G1083" t="s">
        <v>2134</v>
      </c>
      <c r="H1083" t="s">
        <v>293</v>
      </c>
      <c r="I1083">
        <v>75</v>
      </c>
      <c r="J1083">
        <v>435</v>
      </c>
      <c r="K1083">
        <v>435</v>
      </c>
      <c r="L1083">
        <v>435</v>
      </c>
      <c r="M1083">
        <v>435</v>
      </c>
      <c r="N1083" t="s">
        <v>45</v>
      </c>
      <c r="O1083">
        <v>1</v>
      </c>
      <c r="P1083" s="3">
        <f t="shared" si="34"/>
        <v>435</v>
      </c>
      <c r="Q1083" s="3" t="str">
        <f t="shared" si="35"/>
        <v>2025-3263435</v>
      </c>
      <c r="R1083" t="s">
        <v>2135</v>
      </c>
      <c r="S1083" t="s">
        <v>60</v>
      </c>
      <c r="T1083" t="s">
        <v>102</v>
      </c>
    </row>
    <row r="1084" spans="1:20" hidden="1">
      <c r="A1084" t="s">
        <v>2005</v>
      </c>
      <c r="B1084" t="s">
        <v>288</v>
      </c>
      <c r="C1084" t="s">
        <v>69</v>
      </c>
      <c r="D1084" t="s">
        <v>2150</v>
      </c>
      <c r="E1084" t="s">
        <v>2132</v>
      </c>
      <c r="F1084" s="1" t="s">
        <v>2133</v>
      </c>
      <c r="G1084" t="s">
        <v>2134</v>
      </c>
      <c r="H1084" t="s">
        <v>293</v>
      </c>
      <c r="I1084">
        <v>75</v>
      </c>
      <c r="J1084">
        <v>1380</v>
      </c>
      <c r="K1084">
        <v>1380</v>
      </c>
      <c r="L1084">
        <v>1380</v>
      </c>
      <c r="M1084">
        <v>1380</v>
      </c>
      <c r="N1084" t="s">
        <v>45</v>
      </c>
      <c r="O1084">
        <v>1</v>
      </c>
      <c r="P1084" s="3">
        <f t="shared" si="34"/>
        <v>1380</v>
      </c>
      <c r="Q1084" s="3" t="str">
        <f t="shared" si="35"/>
        <v>2025-32641380</v>
      </c>
      <c r="R1084" t="s">
        <v>2135</v>
      </c>
      <c r="S1084" t="s">
        <v>60</v>
      </c>
      <c r="T1084" t="s">
        <v>102</v>
      </c>
    </row>
    <row r="1085" spans="1:20" hidden="1">
      <c r="A1085" t="s">
        <v>2005</v>
      </c>
      <c r="B1085" t="s">
        <v>288</v>
      </c>
      <c r="C1085" t="s">
        <v>69</v>
      </c>
      <c r="D1085" t="s">
        <v>2151</v>
      </c>
      <c r="E1085" t="s">
        <v>2132</v>
      </c>
      <c r="F1085" s="1" t="s">
        <v>2133</v>
      </c>
      <c r="G1085" t="s">
        <v>2134</v>
      </c>
      <c r="H1085" t="s">
        <v>293</v>
      </c>
      <c r="I1085">
        <v>75</v>
      </c>
      <c r="J1085">
        <v>1380</v>
      </c>
      <c r="K1085">
        <v>1380</v>
      </c>
      <c r="L1085">
        <v>1380</v>
      </c>
      <c r="M1085">
        <v>1380</v>
      </c>
      <c r="N1085" t="s">
        <v>45</v>
      </c>
      <c r="O1085">
        <v>1</v>
      </c>
      <c r="P1085" s="3">
        <f t="shared" si="34"/>
        <v>1380</v>
      </c>
      <c r="Q1085" s="3" t="str">
        <f t="shared" si="35"/>
        <v>2025-32651380</v>
      </c>
      <c r="R1085" t="s">
        <v>2135</v>
      </c>
      <c r="S1085" t="s">
        <v>60</v>
      </c>
      <c r="T1085" t="s">
        <v>102</v>
      </c>
    </row>
    <row r="1086" spans="1:20" hidden="1">
      <c r="A1086" t="s">
        <v>2005</v>
      </c>
      <c r="B1086" t="s">
        <v>288</v>
      </c>
      <c r="C1086" t="s">
        <v>69</v>
      </c>
      <c r="D1086" t="s">
        <v>2152</v>
      </c>
      <c r="E1086" t="s">
        <v>2132</v>
      </c>
      <c r="F1086" s="1" t="s">
        <v>2133</v>
      </c>
      <c r="G1086" t="s">
        <v>2134</v>
      </c>
      <c r="H1086" t="s">
        <v>293</v>
      </c>
      <c r="I1086">
        <v>75</v>
      </c>
      <c r="J1086">
        <v>1380</v>
      </c>
      <c r="K1086">
        <v>1380</v>
      </c>
      <c r="L1086">
        <v>1380</v>
      </c>
      <c r="M1086">
        <v>1380</v>
      </c>
      <c r="N1086" t="s">
        <v>45</v>
      </c>
      <c r="O1086">
        <v>1</v>
      </c>
      <c r="P1086" s="3">
        <f t="shared" si="34"/>
        <v>1380</v>
      </c>
      <c r="Q1086" s="3" t="str">
        <f t="shared" si="35"/>
        <v>2025-32661380</v>
      </c>
      <c r="R1086" t="s">
        <v>2135</v>
      </c>
      <c r="S1086" t="s">
        <v>60</v>
      </c>
      <c r="T1086" t="s">
        <v>102</v>
      </c>
    </row>
    <row r="1087" spans="1:20" hidden="1">
      <c r="A1087" t="s">
        <v>2005</v>
      </c>
      <c r="B1087" t="s">
        <v>288</v>
      </c>
      <c r="C1087" t="s">
        <v>69</v>
      </c>
      <c r="D1087" t="s">
        <v>2153</v>
      </c>
      <c r="E1087" t="s">
        <v>2132</v>
      </c>
      <c r="F1087" s="1" t="s">
        <v>2133</v>
      </c>
      <c r="G1087" t="s">
        <v>2134</v>
      </c>
      <c r="H1087" t="s">
        <v>293</v>
      </c>
      <c r="I1087">
        <v>75</v>
      </c>
      <c r="J1087">
        <v>320</v>
      </c>
      <c r="K1087">
        <v>320</v>
      </c>
      <c r="L1087">
        <v>320</v>
      </c>
      <c r="M1087">
        <v>320</v>
      </c>
      <c r="N1087" t="s">
        <v>45</v>
      </c>
      <c r="O1087">
        <v>1</v>
      </c>
      <c r="P1087" s="3">
        <f t="shared" si="34"/>
        <v>320</v>
      </c>
      <c r="Q1087" s="3" t="str">
        <f t="shared" si="35"/>
        <v>2025-3267320</v>
      </c>
      <c r="R1087" t="s">
        <v>2135</v>
      </c>
      <c r="S1087" t="s">
        <v>60</v>
      </c>
      <c r="T1087" t="s">
        <v>102</v>
      </c>
    </row>
    <row r="1088" spans="1:20" hidden="1">
      <c r="A1088" t="s">
        <v>2005</v>
      </c>
      <c r="B1088" t="s">
        <v>288</v>
      </c>
      <c r="C1088" t="s">
        <v>69</v>
      </c>
      <c r="D1088" t="s">
        <v>2154</v>
      </c>
      <c r="E1088" t="s">
        <v>2132</v>
      </c>
      <c r="F1088" s="1" t="s">
        <v>2133</v>
      </c>
      <c r="G1088" t="s">
        <v>2134</v>
      </c>
      <c r="H1088" t="s">
        <v>293</v>
      </c>
      <c r="I1088">
        <v>75</v>
      </c>
      <c r="J1088">
        <v>320</v>
      </c>
      <c r="K1088">
        <v>320</v>
      </c>
      <c r="L1088">
        <v>320</v>
      </c>
      <c r="M1088">
        <v>320</v>
      </c>
      <c r="N1088" t="s">
        <v>45</v>
      </c>
      <c r="O1088">
        <v>1</v>
      </c>
      <c r="P1088" s="3">
        <f t="shared" si="34"/>
        <v>320</v>
      </c>
      <c r="Q1088" s="3" t="str">
        <f t="shared" si="35"/>
        <v>2025-3268320</v>
      </c>
      <c r="R1088" t="s">
        <v>2135</v>
      </c>
      <c r="S1088" t="s">
        <v>60</v>
      </c>
      <c r="T1088" t="s">
        <v>102</v>
      </c>
    </row>
    <row r="1089" spans="1:30" hidden="1">
      <c r="A1089" t="s">
        <v>2005</v>
      </c>
      <c r="B1089" t="s">
        <v>288</v>
      </c>
      <c r="C1089" t="s">
        <v>69</v>
      </c>
      <c r="D1089" t="s">
        <v>2155</v>
      </c>
      <c r="E1089" t="s">
        <v>2132</v>
      </c>
      <c r="F1089" s="1" t="s">
        <v>2133</v>
      </c>
      <c r="G1089" t="s">
        <v>2134</v>
      </c>
      <c r="H1089" t="s">
        <v>293</v>
      </c>
      <c r="I1089">
        <v>75</v>
      </c>
      <c r="J1089">
        <v>320</v>
      </c>
      <c r="K1089">
        <v>320</v>
      </c>
      <c r="L1089">
        <v>320</v>
      </c>
      <c r="M1089">
        <v>320</v>
      </c>
      <c r="N1089" t="s">
        <v>45</v>
      </c>
      <c r="O1089">
        <v>1</v>
      </c>
      <c r="P1089" s="3">
        <f t="shared" si="34"/>
        <v>320</v>
      </c>
      <c r="Q1089" s="3" t="str">
        <f t="shared" si="35"/>
        <v>2025-3269320</v>
      </c>
      <c r="R1089" t="s">
        <v>2135</v>
      </c>
      <c r="S1089" t="s">
        <v>60</v>
      </c>
      <c r="T1089" t="s">
        <v>102</v>
      </c>
    </row>
    <row r="1090" spans="1:30" hidden="1">
      <c r="A1090" t="s">
        <v>2005</v>
      </c>
      <c r="B1090" t="s">
        <v>288</v>
      </c>
      <c r="C1090" t="s">
        <v>69</v>
      </c>
      <c r="D1090" t="s">
        <v>2156</v>
      </c>
      <c r="E1090" t="s">
        <v>2132</v>
      </c>
      <c r="F1090" s="1" t="s">
        <v>2133</v>
      </c>
      <c r="G1090" t="s">
        <v>2134</v>
      </c>
      <c r="H1090" t="s">
        <v>293</v>
      </c>
      <c r="I1090">
        <v>75</v>
      </c>
      <c r="J1090">
        <v>320</v>
      </c>
      <c r="K1090">
        <v>320</v>
      </c>
      <c r="L1090">
        <v>320</v>
      </c>
      <c r="M1090">
        <v>320</v>
      </c>
      <c r="N1090" t="s">
        <v>45</v>
      </c>
      <c r="O1090">
        <v>1</v>
      </c>
      <c r="P1090" s="3">
        <f t="shared" si="34"/>
        <v>320</v>
      </c>
      <c r="Q1090" s="3" t="str">
        <f t="shared" si="35"/>
        <v>2025-3270320</v>
      </c>
      <c r="R1090" t="s">
        <v>2135</v>
      </c>
      <c r="S1090" t="s">
        <v>60</v>
      </c>
      <c r="T1090" t="s">
        <v>102</v>
      </c>
    </row>
    <row r="1091" spans="1:30" hidden="1">
      <c r="A1091" t="s">
        <v>2005</v>
      </c>
      <c r="B1091" t="s">
        <v>288</v>
      </c>
      <c r="C1091" t="s">
        <v>69</v>
      </c>
      <c r="D1091" t="s">
        <v>2157</v>
      </c>
      <c r="E1091" t="s">
        <v>2132</v>
      </c>
      <c r="F1091" s="1" t="s">
        <v>2133</v>
      </c>
      <c r="G1091" t="s">
        <v>2134</v>
      </c>
      <c r="H1091" t="s">
        <v>293</v>
      </c>
      <c r="I1091">
        <v>75</v>
      </c>
      <c r="J1091">
        <v>320</v>
      </c>
      <c r="K1091">
        <v>320</v>
      </c>
      <c r="L1091">
        <v>320</v>
      </c>
      <c r="M1091">
        <v>320</v>
      </c>
      <c r="N1091" t="s">
        <v>45</v>
      </c>
      <c r="O1091">
        <v>1</v>
      </c>
      <c r="P1091" s="3">
        <f t="shared" si="34"/>
        <v>320</v>
      </c>
      <c r="Q1091" s="3" t="str">
        <f t="shared" si="35"/>
        <v>2025-3271320</v>
      </c>
      <c r="R1091" t="s">
        <v>2135</v>
      </c>
      <c r="S1091" t="s">
        <v>60</v>
      </c>
      <c r="T1091" t="s">
        <v>102</v>
      </c>
    </row>
    <row r="1092" spans="1:30" hidden="1">
      <c r="A1092" t="s">
        <v>2005</v>
      </c>
      <c r="B1092" t="s">
        <v>173</v>
      </c>
      <c r="C1092" t="s">
        <v>69</v>
      </c>
      <c r="D1092" t="s">
        <v>2158</v>
      </c>
      <c r="E1092" t="s">
        <v>2065</v>
      </c>
      <c r="F1092" s="1" t="s">
        <v>2066</v>
      </c>
      <c r="G1092" t="s">
        <v>2159</v>
      </c>
      <c r="H1092" t="s">
        <v>293</v>
      </c>
      <c r="I1092">
        <v>75</v>
      </c>
      <c r="J1092">
        <v>52000</v>
      </c>
      <c r="K1092">
        <v>52000</v>
      </c>
      <c r="L1092">
        <v>52000</v>
      </c>
      <c r="M1092">
        <v>52000</v>
      </c>
      <c r="N1092" t="s">
        <v>45</v>
      </c>
      <c r="O1092">
        <v>1</v>
      </c>
      <c r="P1092" s="3">
        <f t="shared" si="34"/>
        <v>52000</v>
      </c>
      <c r="Q1092" s="3" t="str">
        <f t="shared" si="35"/>
        <v>04565852000</v>
      </c>
      <c r="R1092" t="s">
        <v>395</v>
      </c>
    </row>
    <row r="1093" spans="1:30" hidden="1">
      <c r="A1093" t="s">
        <v>2005</v>
      </c>
      <c r="B1093" t="s">
        <v>173</v>
      </c>
      <c r="C1093" t="s">
        <v>69</v>
      </c>
      <c r="D1093" t="s">
        <v>2160</v>
      </c>
      <c r="E1093" t="s">
        <v>2161</v>
      </c>
      <c r="F1093" s="1" t="s">
        <v>2161</v>
      </c>
      <c r="G1093" t="s">
        <v>2162</v>
      </c>
      <c r="H1093" t="s">
        <v>293</v>
      </c>
      <c r="I1093">
        <v>75</v>
      </c>
      <c r="J1093">
        <v>58597.02</v>
      </c>
      <c r="K1093">
        <v>58597.02</v>
      </c>
      <c r="L1093">
        <v>58597.02</v>
      </c>
      <c r="M1093">
        <v>58597.02</v>
      </c>
      <c r="N1093" t="s">
        <v>45</v>
      </c>
      <c r="O1093">
        <v>1</v>
      </c>
      <c r="P1093" s="3">
        <f t="shared" si="34"/>
        <v>58597.02</v>
      </c>
      <c r="Q1093" s="3" t="str">
        <f t="shared" si="35"/>
        <v>INV-US-1090958597.02</v>
      </c>
      <c r="R1093" t="s">
        <v>166</v>
      </c>
      <c r="S1093" t="s">
        <v>60</v>
      </c>
      <c r="T1093" t="s">
        <v>102</v>
      </c>
    </row>
    <row r="1094" spans="1:30" hidden="1">
      <c r="A1094" t="s">
        <v>2005</v>
      </c>
      <c r="B1094" t="s">
        <v>293</v>
      </c>
      <c r="C1094" t="s">
        <v>69</v>
      </c>
      <c r="D1094" t="s">
        <v>2163</v>
      </c>
      <c r="E1094" t="s">
        <v>2164</v>
      </c>
      <c r="F1094" s="1" t="s">
        <v>2165</v>
      </c>
      <c r="G1094" t="s">
        <v>2166</v>
      </c>
      <c r="H1094" t="s">
        <v>293</v>
      </c>
      <c r="I1094">
        <v>75</v>
      </c>
      <c r="J1094">
        <v>7302</v>
      </c>
      <c r="K1094">
        <v>7302</v>
      </c>
      <c r="L1094">
        <v>7302</v>
      </c>
      <c r="M1094">
        <v>7302</v>
      </c>
      <c r="N1094" t="s">
        <v>45</v>
      </c>
      <c r="O1094">
        <v>1</v>
      </c>
      <c r="P1094" s="3">
        <f t="shared" si="34"/>
        <v>7302</v>
      </c>
      <c r="Q1094" s="3" t="str">
        <f t="shared" si="35"/>
        <v>23172247302</v>
      </c>
      <c r="R1094" t="s">
        <v>2167</v>
      </c>
      <c r="S1094" t="s">
        <v>233</v>
      </c>
    </row>
    <row r="1095" spans="1:30" hidden="1">
      <c r="A1095" t="s">
        <v>2005</v>
      </c>
      <c r="B1095" t="s">
        <v>96</v>
      </c>
      <c r="C1095" t="s">
        <v>69</v>
      </c>
      <c r="D1095" t="s">
        <v>2168</v>
      </c>
      <c r="E1095" t="s">
        <v>2169</v>
      </c>
      <c r="F1095" s="1" t="s">
        <v>2170</v>
      </c>
      <c r="G1095" t="s">
        <v>2171</v>
      </c>
      <c r="H1095" t="s">
        <v>293</v>
      </c>
      <c r="I1095">
        <v>75</v>
      </c>
      <c r="J1095">
        <v>3343.12</v>
      </c>
      <c r="K1095">
        <v>3343.12</v>
      </c>
      <c r="L1095">
        <v>3343.12</v>
      </c>
      <c r="M1095">
        <v>3343.12</v>
      </c>
      <c r="N1095" t="s">
        <v>45</v>
      </c>
      <c r="O1095">
        <v>1</v>
      </c>
      <c r="P1095" s="3">
        <f t="shared" si="34"/>
        <v>3343.12</v>
      </c>
      <c r="Q1095" s="3" t="str">
        <f t="shared" si="35"/>
        <v>17858523343.12</v>
      </c>
      <c r="R1095" t="s">
        <v>1191</v>
      </c>
    </row>
    <row r="1096" spans="1:30" hidden="1">
      <c r="A1096" t="s">
        <v>2005</v>
      </c>
      <c r="B1096" t="s">
        <v>288</v>
      </c>
      <c r="C1096" t="s">
        <v>69</v>
      </c>
      <c r="D1096" t="s">
        <v>2172</v>
      </c>
      <c r="E1096" t="s">
        <v>2173</v>
      </c>
      <c r="F1096" s="1" t="s">
        <v>2174</v>
      </c>
      <c r="G1096" t="s">
        <v>2175</v>
      </c>
      <c r="H1096" t="s">
        <v>301</v>
      </c>
      <c r="I1096">
        <v>74</v>
      </c>
      <c r="J1096">
        <v>17735</v>
      </c>
      <c r="K1096">
        <v>17735</v>
      </c>
      <c r="L1096">
        <v>17735</v>
      </c>
      <c r="M1096">
        <v>17735</v>
      </c>
      <c r="N1096" t="s">
        <v>45</v>
      </c>
      <c r="O1096">
        <v>1</v>
      </c>
      <c r="P1096" s="3">
        <f t="shared" si="34"/>
        <v>17735</v>
      </c>
      <c r="Q1096" s="3" t="str">
        <f t="shared" si="35"/>
        <v>25092917735</v>
      </c>
      <c r="R1096" t="s">
        <v>2167</v>
      </c>
      <c r="S1096" t="s">
        <v>233</v>
      </c>
      <c r="T1096" t="s">
        <v>102</v>
      </c>
      <c r="AB1096" t="e">
        <v>#VALUE!</v>
      </c>
      <c r="AD1096" t="s">
        <v>2176</v>
      </c>
    </row>
    <row r="1097" spans="1:30" hidden="1">
      <c r="A1097" t="s">
        <v>2005</v>
      </c>
      <c r="B1097" t="s">
        <v>173</v>
      </c>
      <c r="C1097" t="s">
        <v>69</v>
      </c>
      <c r="D1097" t="s">
        <v>2177</v>
      </c>
      <c r="E1097" t="s">
        <v>2178</v>
      </c>
      <c r="F1097" s="1" t="s">
        <v>2179</v>
      </c>
      <c r="G1097" t="s">
        <v>2180</v>
      </c>
      <c r="H1097" t="s">
        <v>301</v>
      </c>
      <c r="I1097">
        <v>74</v>
      </c>
      <c r="J1097">
        <v>4897.5</v>
      </c>
      <c r="K1097">
        <v>4897.5</v>
      </c>
      <c r="L1097">
        <v>4897.5</v>
      </c>
      <c r="M1097">
        <v>4897.5</v>
      </c>
      <c r="N1097" t="s">
        <v>45</v>
      </c>
      <c r="O1097">
        <v>1</v>
      </c>
      <c r="P1097" s="3">
        <f t="shared" si="34"/>
        <v>4897.5</v>
      </c>
      <c r="Q1097" s="3" t="str">
        <f t="shared" si="35"/>
        <v>M10-06794554897.5</v>
      </c>
      <c r="R1097" t="s">
        <v>2181</v>
      </c>
      <c r="S1097" t="s">
        <v>60</v>
      </c>
    </row>
    <row r="1098" spans="1:30" hidden="1">
      <c r="A1098" t="s">
        <v>2005</v>
      </c>
      <c r="B1098" t="s">
        <v>173</v>
      </c>
      <c r="C1098" t="s">
        <v>69</v>
      </c>
      <c r="D1098" t="s">
        <v>2182</v>
      </c>
      <c r="E1098" t="s">
        <v>2178</v>
      </c>
      <c r="F1098" s="1" t="s">
        <v>2179</v>
      </c>
      <c r="G1098" t="s">
        <v>2183</v>
      </c>
      <c r="H1098" t="s">
        <v>301</v>
      </c>
      <c r="I1098">
        <v>74</v>
      </c>
      <c r="J1098">
        <v>33611.5</v>
      </c>
      <c r="K1098">
        <v>33611.5</v>
      </c>
      <c r="L1098">
        <v>33611.5</v>
      </c>
      <c r="M1098">
        <v>33611.5</v>
      </c>
      <c r="N1098" t="s">
        <v>45</v>
      </c>
      <c r="O1098">
        <v>1</v>
      </c>
      <c r="P1098" s="3">
        <f t="shared" si="34"/>
        <v>33611.5</v>
      </c>
      <c r="Q1098" s="3" t="str">
        <f t="shared" si="35"/>
        <v>M10-067944133611.5</v>
      </c>
      <c r="R1098" t="s">
        <v>2181</v>
      </c>
      <c r="S1098" t="s">
        <v>60</v>
      </c>
      <c r="T1098" t="s">
        <v>102</v>
      </c>
    </row>
    <row r="1099" spans="1:30" hidden="1">
      <c r="A1099" t="s">
        <v>2005</v>
      </c>
      <c r="B1099" t="s">
        <v>173</v>
      </c>
      <c r="C1099" t="s">
        <v>69</v>
      </c>
      <c r="D1099" t="s">
        <v>2184</v>
      </c>
      <c r="E1099" t="s">
        <v>2009</v>
      </c>
      <c r="F1099" s="1" t="s">
        <v>2010</v>
      </c>
      <c r="G1099" t="s">
        <v>2185</v>
      </c>
      <c r="H1099" t="s">
        <v>301</v>
      </c>
      <c r="I1099">
        <v>74</v>
      </c>
      <c r="J1099">
        <v>2443.1</v>
      </c>
      <c r="K1099">
        <v>2443.1</v>
      </c>
      <c r="L1099">
        <v>2443.1</v>
      </c>
      <c r="M1099">
        <v>2443.1</v>
      </c>
      <c r="N1099" t="s">
        <v>45</v>
      </c>
      <c r="O1099">
        <v>1</v>
      </c>
      <c r="P1099" s="3">
        <f t="shared" si="34"/>
        <v>2443.1</v>
      </c>
      <c r="Q1099" s="3" t="str">
        <f t="shared" si="35"/>
        <v>AG3FS8E2443.1</v>
      </c>
      <c r="R1099" t="s">
        <v>37</v>
      </c>
      <c r="S1099" t="s">
        <v>60</v>
      </c>
      <c r="T1099" t="s">
        <v>102</v>
      </c>
      <c r="AB1099" t="e">
        <v>#VALUE!</v>
      </c>
      <c r="AD1099" t="s">
        <v>2186</v>
      </c>
    </row>
    <row r="1100" spans="1:30" hidden="1">
      <c r="A1100" t="s">
        <v>2005</v>
      </c>
      <c r="B1100" t="s">
        <v>173</v>
      </c>
      <c r="C1100" t="s">
        <v>69</v>
      </c>
      <c r="D1100" t="s">
        <v>2187</v>
      </c>
      <c r="E1100" t="s">
        <v>2188</v>
      </c>
      <c r="F1100" s="1" t="s">
        <v>2189</v>
      </c>
      <c r="G1100" t="s">
        <v>2190</v>
      </c>
      <c r="H1100" t="s">
        <v>301</v>
      </c>
      <c r="I1100">
        <v>74</v>
      </c>
      <c r="J1100">
        <v>9975.1200000000008</v>
      </c>
      <c r="K1100">
        <v>9975.1239999999998</v>
      </c>
      <c r="L1100">
        <v>8500</v>
      </c>
      <c r="M1100">
        <v>8500</v>
      </c>
      <c r="N1100" t="s">
        <v>601</v>
      </c>
      <c r="O1100">
        <v>1.1735439999999999</v>
      </c>
      <c r="P1100" s="3">
        <f t="shared" si="34"/>
        <v>8500</v>
      </c>
      <c r="Q1100" s="3" t="str">
        <f t="shared" si="35"/>
        <v>25027878500</v>
      </c>
      <c r="R1100" t="s">
        <v>285</v>
      </c>
    </row>
    <row r="1101" spans="1:30" hidden="1">
      <c r="A1101" t="s">
        <v>2005</v>
      </c>
      <c r="B1101" t="s">
        <v>311</v>
      </c>
      <c r="C1101" t="s">
        <v>69</v>
      </c>
      <c r="D1101" t="s">
        <v>2191</v>
      </c>
      <c r="E1101" t="s">
        <v>2057</v>
      </c>
      <c r="F1101" s="1" t="s">
        <v>2058</v>
      </c>
      <c r="G1101" t="s">
        <v>2192</v>
      </c>
      <c r="H1101" t="s">
        <v>301</v>
      </c>
      <c r="I1101">
        <v>74</v>
      </c>
      <c r="J1101">
        <v>75000</v>
      </c>
      <c r="K1101">
        <v>75000</v>
      </c>
      <c r="L1101">
        <v>75000</v>
      </c>
      <c r="M1101">
        <v>75000</v>
      </c>
      <c r="N1101" t="s">
        <v>45</v>
      </c>
      <c r="O1101">
        <v>1</v>
      </c>
      <c r="P1101" s="3">
        <f t="shared" si="34"/>
        <v>75000</v>
      </c>
      <c r="Q1101" s="3" t="str">
        <f t="shared" si="35"/>
        <v>TI-EXB-20251002-00175000</v>
      </c>
      <c r="R1101" t="s">
        <v>2060</v>
      </c>
    </row>
    <row r="1102" spans="1:30" hidden="1">
      <c r="A1102" t="s">
        <v>2005</v>
      </c>
      <c r="B1102" t="s">
        <v>96</v>
      </c>
      <c r="C1102" t="s">
        <v>69</v>
      </c>
      <c r="D1102" t="s">
        <v>2193</v>
      </c>
      <c r="E1102" t="s">
        <v>2194</v>
      </c>
      <c r="F1102" s="1" t="s">
        <v>2195</v>
      </c>
      <c r="G1102" t="s">
        <v>2196</v>
      </c>
      <c r="H1102" t="s">
        <v>301</v>
      </c>
      <c r="I1102">
        <v>74</v>
      </c>
      <c r="J1102">
        <v>3500</v>
      </c>
      <c r="K1102">
        <v>3500</v>
      </c>
      <c r="L1102">
        <v>3500</v>
      </c>
      <c r="M1102">
        <v>3500</v>
      </c>
      <c r="N1102" t="s">
        <v>45</v>
      </c>
      <c r="O1102">
        <v>1</v>
      </c>
      <c r="P1102" s="3">
        <f t="shared" si="34"/>
        <v>3500</v>
      </c>
      <c r="Q1102" s="3" t="str">
        <f t="shared" si="35"/>
        <v>0073500</v>
      </c>
    </row>
    <row r="1103" spans="1:30" hidden="1">
      <c r="A1103" t="s">
        <v>2005</v>
      </c>
      <c r="B1103" t="s">
        <v>96</v>
      </c>
      <c r="C1103" t="s">
        <v>69</v>
      </c>
      <c r="D1103" t="s">
        <v>2197</v>
      </c>
      <c r="E1103" t="s">
        <v>2198</v>
      </c>
      <c r="F1103" s="1" t="s">
        <v>2198</v>
      </c>
      <c r="G1103" t="s">
        <v>2199</v>
      </c>
      <c r="H1103" t="s">
        <v>96</v>
      </c>
      <c r="I1103">
        <v>73</v>
      </c>
      <c r="J1103">
        <v>2208.8000000000002</v>
      </c>
      <c r="K1103">
        <v>2208.8000000000002</v>
      </c>
      <c r="L1103">
        <v>2208.8000000000002</v>
      </c>
      <c r="M1103">
        <v>2208.8000000000002</v>
      </c>
      <c r="N1103" t="s">
        <v>45</v>
      </c>
      <c r="O1103">
        <v>1</v>
      </c>
      <c r="P1103" s="3">
        <f t="shared" si="34"/>
        <v>2208.8000000000002</v>
      </c>
      <c r="Q1103" s="3" t="str">
        <f t="shared" si="35"/>
        <v>NO.TST-02-091725-0062208.8</v>
      </c>
      <c r="R1103" t="s">
        <v>2200</v>
      </c>
      <c r="AB1103" t="s">
        <v>85</v>
      </c>
    </row>
    <row r="1104" spans="1:30" hidden="1">
      <c r="A1104" t="s">
        <v>2005</v>
      </c>
      <c r="B1104" t="s">
        <v>96</v>
      </c>
      <c r="C1104" t="s">
        <v>69</v>
      </c>
      <c r="D1104" t="s">
        <v>2201</v>
      </c>
      <c r="E1104" t="s">
        <v>2202</v>
      </c>
      <c r="F1104" s="1" t="s">
        <v>2203</v>
      </c>
      <c r="G1104" t="s">
        <v>2204</v>
      </c>
      <c r="H1104" t="s">
        <v>96</v>
      </c>
      <c r="I1104">
        <v>73</v>
      </c>
      <c r="J1104">
        <v>7900</v>
      </c>
      <c r="K1104">
        <v>7900</v>
      </c>
      <c r="L1104">
        <v>7900</v>
      </c>
      <c r="M1104">
        <v>7900</v>
      </c>
      <c r="N1104" t="s">
        <v>45</v>
      </c>
      <c r="O1104">
        <v>1</v>
      </c>
      <c r="P1104" s="3">
        <f t="shared" si="34"/>
        <v>7900</v>
      </c>
      <c r="Q1104" s="3" t="str">
        <f t="shared" si="35"/>
        <v>BMC-TT-1347900</v>
      </c>
      <c r="AB1104" t="s">
        <v>85</v>
      </c>
    </row>
    <row r="1105" spans="1:30" hidden="1">
      <c r="A1105" t="s">
        <v>2005</v>
      </c>
      <c r="B1105" t="s">
        <v>96</v>
      </c>
      <c r="C1105" t="s">
        <v>69</v>
      </c>
      <c r="D1105" t="s">
        <v>2205</v>
      </c>
      <c r="E1105" t="s">
        <v>2206</v>
      </c>
      <c r="F1105" s="1" t="s">
        <v>2207</v>
      </c>
      <c r="G1105" t="s">
        <v>2208</v>
      </c>
      <c r="H1105" t="s">
        <v>96</v>
      </c>
      <c r="I1105">
        <v>73</v>
      </c>
      <c r="J1105">
        <v>58415</v>
      </c>
      <c r="K1105">
        <v>58415</v>
      </c>
      <c r="L1105">
        <v>58415</v>
      </c>
      <c r="M1105">
        <v>58415</v>
      </c>
      <c r="N1105" t="s">
        <v>45</v>
      </c>
      <c r="O1105">
        <v>1</v>
      </c>
      <c r="P1105" s="3">
        <f t="shared" si="34"/>
        <v>58415</v>
      </c>
      <c r="Q1105" s="3" t="str">
        <f t="shared" si="35"/>
        <v>2025L00004958415</v>
      </c>
      <c r="R1105" t="s">
        <v>186</v>
      </c>
      <c r="AB1105" t="s">
        <v>85</v>
      </c>
    </row>
    <row r="1106" spans="1:30" hidden="1">
      <c r="A1106" t="s">
        <v>2005</v>
      </c>
      <c r="B1106" t="s">
        <v>332</v>
      </c>
      <c r="C1106" t="s">
        <v>69</v>
      </c>
      <c r="D1106" t="s">
        <v>2209</v>
      </c>
      <c r="E1106" t="s">
        <v>2009</v>
      </c>
      <c r="F1106" s="1" t="s">
        <v>2010</v>
      </c>
      <c r="G1106" t="s">
        <v>2210</v>
      </c>
      <c r="H1106" t="s">
        <v>337</v>
      </c>
      <c r="I1106">
        <v>72</v>
      </c>
      <c r="J1106">
        <v>389.99</v>
      </c>
      <c r="K1106">
        <v>389.99</v>
      </c>
      <c r="L1106">
        <v>389.99</v>
      </c>
      <c r="M1106">
        <v>389.99</v>
      </c>
      <c r="N1106" t="s">
        <v>45</v>
      </c>
      <c r="O1106">
        <v>1</v>
      </c>
      <c r="P1106" s="3">
        <f t="shared" si="34"/>
        <v>389.99</v>
      </c>
      <c r="Q1106" s="3" t="str">
        <f t="shared" si="35"/>
        <v>AG3MA7H389.99</v>
      </c>
      <c r="R1106" t="s">
        <v>37</v>
      </c>
      <c r="S1106" t="s">
        <v>60</v>
      </c>
      <c r="T1106" t="s">
        <v>102</v>
      </c>
      <c r="AB1106" t="s">
        <v>85</v>
      </c>
      <c r="AD1106" t="s">
        <v>2186</v>
      </c>
    </row>
    <row r="1107" spans="1:30" hidden="1">
      <c r="A1107" t="s">
        <v>2005</v>
      </c>
      <c r="B1107" t="s">
        <v>332</v>
      </c>
      <c r="C1107" t="s">
        <v>69</v>
      </c>
      <c r="D1107" t="s">
        <v>2211</v>
      </c>
      <c r="E1107" t="s">
        <v>2009</v>
      </c>
      <c r="F1107" s="1" t="s">
        <v>2010</v>
      </c>
      <c r="G1107" t="s">
        <v>2212</v>
      </c>
      <c r="H1107" t="s">
        <v>337</v>
      </c>
      <c r="I1107">
        <v>72</v>
      </c>
      <c r="J1107">
        <v>25669.86</v>
      </c>
      <c r="K1107">
        <v>25669.86</v>
      </c>
      <c r="L1107">
        <v>25669.86</v>
      </c>
      <c r="M1107">
        <v>25669.86</v>
      </c>
      <c r="N1107" t="s">
        <v>45</v>
      </c>
      <c r="O1107">
        <v>1</v>
      </c>
      <c r="P1107" s="3">
        <f t="shared" si="34"/>
        <v>25669.86</v>
      </c>
      <c r="Q1107" s="3" t="str">
        <f t="shared" si="35"/>
        <v>AG3M47A25669.86</v>
      </c>
      <c r="R1107" t="s">
        <v>37</v>
      </c>
      <c r="S1107" t="s">
        <v>60</v>
      </c>
      <c r="T1107" t="s">
        <v>102</v>
      </c>
      <c r="AB1107" t="s">
        <v>85</v>
      </c>
      <c r="AD1107" t="s">
        <v>2186</v>
      </c>
    </row>
    <row r="1108" spans="1:30" hidden="1">
      <c r="A1108" t="s">
        <v>2005</v>
      </c>
      <c r="B1108" t="s">
        <v>349</v>
      </c>
      <c r="C1108" t="s">
        <v>31</v>
      </c>
      <c r="D1108" t="s">
        <v>32</v>
      </c>
      <c r="E1108" t="s">
        <v>2213</v>
      </c>
      <c r="F1108" s="1" t="s">
        <v>2214</v>
      </c>
      <c r="G1108" t="s">
        <v>35</v>
      </c>
      <c r="H1108" t="s">
        <v>349</v>
      </c>
      <c r="I1108">
        <v>71</v>
      </c>
      <c r="J1108">
        <v>-96369.53</v>
      </c>
      <c r="K1108">
        <v>-96369.53</v>
      </c>
      <c r="L1108">
        <v>-96369.53</v>
      </c>
      <c r="M1108">
        <v>-96369.53</v>
      </c>
      <c r="N1108" t="s">
        <v>45</v>
      </c>
      <c r="O1108">
        <v>1</v>
      </c>
      <c r="P1108" s="3">
        <f t="shared" si="34"/>
        <v>-96369.53</v>
      </c>
      <c r="Q1108" s="3" t="str">
        <f t="shared" si="35"/>
        <v>-96369.53</v>
      </c>
      <c r="R1108" t="s">
        <v>1784</v>
      </c>
      <c r="S1108" t="s">
        <v>40</v>
      </c>
      <c r="AB1108" t="s">
        <v>40</v>
      </c>
    </row>
    <row r="1109" spans="1:30" hidden="1">
      <c r="A1109" t="s">
        <v>2005</v>
      </c>
      <c r="B1109" t="s">
        <v>349</v>
      </c>
      <c r="C1109" t="s">
        <v>31</v>
      </c>
      <c r="D1109" t="s">
        <v>32</v>
      </c>
      <c r="E1109" t="s">
        <v>2215</v>
      </c>
      <c r="F1109" s="1" t="s">
        <v>2216</v>
      </c>
      <c r="G1109" t="s">
        <v>2217</v>
      </c>
      <c r="H1109" t="s">
        <v>349</v>
      </c>
      <c r="I1109">
        <v>71</v>
      </c>
      <c r="J1109">
        <v>-2500</v>
      </c>
      <c r="K1109">
        <v>-2500</v>
      </c>
      <c r="L1109">
        <v>-2500</v>
      </c>
      <c r="M1109">
        <v>-2500</v>
      </c>
      <c r="N1109" t="s">
        <v>45</v>
      </c>
      <c r="O1109">
        <v>1</v>
      </c>
      <c r="P1109" s="3">
        <f t="shared" si="34"/>
        <v>-2500</v>
      </c>
      <c r="Q1109" s="3" t="str">
        <f t="shared" si="35"/>
        <v>-2500</v>
      </c>
      <c r="AB1109" t="s">
        <v>40</v>
      </c>
    </row>
    <row r="1110" spans="1:30" hidden="1">
      <c r="A1110" t="s">
        <v>2005</v>
      </c>
      <c r="B1110" t="s">
        <v>349</v>
      </c>
      <c r="C1110" t="s">
        <v>69</v>
      </c>
      <c r="D1110" t="s">
        <v>2218</v>
      </c>
      <c r="E1110" t="s">
        <v>2098</v>
      </c>
      <c r="F1110" s="1" t="s">
        <v>2099</v>
      </c>
      <c r="G1110" t="s">
        <v>2100</v>
      </c>
      <c r="H1110" t="s">
        <v>349</v>
      </c>
      <c r="I1110">
        <v>71</v>
      </c>
      <c r="J1110">
        <v>8055</v>
      </c>
      <c r="K1110">
        <v>8055</v>
      </c>
      <c r="L1110">
        <v>8055</v>
      </c>
      <c r="M1110">
        <v>8055</v>
      </c>
      <c r="N1110" t="s">
        <v>45</v>
      </c>
      <c r="O1110">
        <v>1</v>
      </c>
      <c r="P1110" s="3">
        <f t="shared" si="34"/>
        <v>8055</v>
      </c>
      <c r="Q1110" s="3" t="str">
        <f t="shared" si="35"/>
        <v>SIN0688768055</v>
      </c>
      <c r="AB1110" t="s">
        <v>85</v>
      </c>
    </row>
    <row r="1111" spans="1:30" hidden="1">
      <c r="A1111" t="s">
        <v>2005</v>
      </c>
      <c r="B1111" t="s">
        <v>349</v>
      </c>
      <c r="C1111" t="s">
        <v>31</v>
      </c>
      <c r="D1111" t="s">
        <v>32</v>
      </c>
      <c r="E1111" t="s">
        <v>2219</v>
      </c>
      <c r="F1111" s="1" t="s">
        <v>2220</v>
      </c>
      <c r="G1111" t="s">
        <v>35</v>
      </c>
      <c r="H1111" t="s">
        <v>349</v>
      </c>
      <c r="I1111">
        <v>71</v>
      </c>
      <c r="J1111">
        <v>-33425</v>
      </c>
      <c r="K1111">
        <v>-33425</v>
      </c>
      <c r="L1111">
        <v>-33425</v>
      </c>
      <c r="M1111">
        <v>-33425</v>
      </c>
      <c r="N1111" t="s">
        <v>45</v>
      </c>
      <c r="O1111">
        <v>1</v>
      </c>
      <c r="P1111" s="3">
        <f t="shared" si="34"/>
        <v>-33425</v>
      </c>
      <c r="Q1111" s="3" t="str">
        <f t="shared" si="35"/>
        <v>-33425</v>
      </c>
      <c r="AB1111" t="s">
        <v>40</v>
      </c>
    </row>
    <row r="1112" spans="1:30" hidden="1">
      <c r="A1112" t="s">
        <v>2005</v>
      </c>
      <c r="B1112" t="s">
        <v>194</v>
      </c>
      <c r="C1112" t="s">
        <v>69</v>
      </c>
      <c r="D1112" t="s">
        <v>2221</v>
      </c>
      <c r="E1112" t="s">
        <v>2222</v>
      </c>
      <c r="F1112" s="1" t="s">
        <v>2223</v>
      </c>
      <c r="G1112" t="s">
        <v>2224</v>
      </c>
      <c r="H1112" t="s">
        <v>354</v>
      </c>
      <c r="I1112">
        <v>70</v>
      </c>
      <c r="J1112">
        <v>12415</v>
      </c>
      <c r="K1112">
        <v>12415</v>
      </c>
      <c r="L1112">
        <v>12415</v>
      </c>
      <c r="M1112">
        <v>12415</v>
      </c>
      <c r="N1112" t="s">
        <v>45</v>
      </c>
      <c r="O1112">
        <v>1</v>
      </c>
      <c r="P1112" s="3">
        <f t="shared" si="34"/>
        <v>12415</v>
      </c>
      <c r="Q1112" s="3" t="str">
        <f t="shared" si="35"/>
        <v>1011012415</v>
      </c>
      <c r="R1112" t="s">
        <v>2167</v>
      </c>
      <c r="S1112" t="s">
        <v>233</v>
      </c>
      <c r="AB1112" t="s">
        <v>85</v>
      </c>
    </row>
    <row r="1113" spans="1:30" hidden="1">
      <c r="A1113" t="s">
        <v>2005</v>
      </c>
      <c r="B1113" t="s">
        <v>354</v>
      </c>
      <c r="C1113" t="s">
        <v>69</v>
      </c>
      <c r="D1113" t="s">
        <v>2225</v>
      </c>
      <c r="E1113" t="s">
        <v>2226</v>
      </c>
      <c r="F1113" s="1" t="s">
        <v>2227</v>
      </c>
      <c r="G1113" t="s">
        <v>2228</v>
      </c>
      <c r="H1113" t="s">
        <v>354</v>
      </c>
      <c r="I1113">
        <v>70</v>
      </c>
      <c r="J1113">
        <v>3975</v>
      </c>
      <c r="K1113">
        <v>3975</v>
      </c>
      <c r="L1113">
        <v>3975</v>
      </c>
      <c r="M1113">
        <v>3975</v>
      </c>
      <c r="N1113" t="s">
        <v>45</v>
      </c>
      <c r="O1113">
        <v>1</v>
      </c>
      <c r="P1113" s="3">
        <f t="shared" si="34"/>
        <v>3975</v>
      </c>
      <c r="Q1113" s="3" t="str">
        <f t="shared" si="35"/>
        <v>8820453975</v>
      </c>
      <c r="R1113" t="s">
        <v>246</v>
      </c>
      <c r="S1113" t="s">
        <v>60</v>
      </c>
      <c r="T1113" t="s">
        <v>102</v>
      </c>
      <c r="AB1113" t="s">
        <v>85</v>
      </c>
    </row>
    <row r="1114" spans="1:30" hidden="1">
      <c r="A1114" t="s">
        <v>2005</v>
      </c>
      <c r="B1114" t="s">
        <v>361</v>
      </c>
      <c r="C1114" t="s">
        <v>69</v>
      </c>
      <c r="D1114" t="s">
        <v>2229</v>
      </c>
      <c r="E1114" t="s">
        <v>2230</v>
      </c>
      <c r="F1114" s="1" t="s">
        <v>2231</v>
      </c>
      <c r="G1114" t="s">
        <v>2232</v>
      </c>
      <c r="H1114" t="s">
        <v>364</v>
      </c>
      <c r="I1114">
        <v>69</v>
      </c>
      <c r="J1114">
        <v>3040.05</v>
      </c>
      <c r="K1114">
        <v>3040.0478665099999</v>
      </c>
      <c r="L1114">
        <v>2597.5700000000002</v>
      </c>
      <c r="M1114">
        <v>2597.5700000000002</v>
      </c>
      <c r="N1114" t="s">
        <v>601</v>
      </c>
      <c r="O1114">
        <v>1.1703429999999999</v>
      </c>
      <c r="P1114" s="3">
        <f t="shared" si="34"/>
        <v>2597.5700000000002</v>
      </c>
      <c r="Q1114" s="3" t="str">
        <f t="shared" si="35"/>
        <v>IESI2635032597.57</v>
      </c>
      <c r="R1114" t="s">
        <v>37</v>
      </c>
      <c r="S1114" t="s">
        <v>60</v>
      </c>
      <c r="AB1114" t="s">
        <v>85</v>
      </c>
    </row>
    <row r="1115" spans="1:30" hidden="1">
      <c r="A1115" t="s">
        <v>2005</v>
      </c>
      <c r="B1115" t="s">
        <v>361</v>
      </c>
      <c r="C1115" t="s">
        <v>69</v>
      </c>
      <c r="D1115" t="s">
        <v>2233</v>
      </c>
      <c r="E1115" t="s">
        <v>2234</v>
      </c>
      <c r="F1115" s="1" t="s">
        <v>2235</v>
      </c>
      <c r="G1115" t="s">
        <v>2236</v>
      </c>
      <c r="H1115" t="s">
        <v>364</v>
      </c>
      <c r="I1115">
        <v>69</v>
      </c>
      <c r="J1115">
        <v>10600</v>
      </c>
      <c r="K1115">
        <v>10600</v>
      </c>
      <c r="L1115">
        <v>10600</v>
      </c>
      <c r="M1115">
        <v>10600</v>
      </c>
      <c r="N1115" t="s">
        <v>45</v>
      </c>
      <c r="O1115">
        <v>1</v>
      </c>
      <c r="P1115" s="3">
        <f t="shared" si="34"/>
        <v>10600</v>
      </c>
      <c r="Q1115" s="3" t="str">
        <f t="shared" si="35"/>
        <v>182510600</v>
      </c>
      <c r="R1115" t="s">
        <v>2237</v>
      </c>
      <c r="S1115" t="s">
        <v>60</v>
      </c>
      <c r="AB1115" t="s">
        <v>85</v>
      </c>
      <c r="AD1115" t="s">
        <v>2116</v>
      </c>
    </row>
    <row r="1116" spans="1:30" hidden="1">
      <c r="A1116" t="s">
        <v>2005</v>
      </c>
      <c r="B1116" t="s">
        <v>96</v>
      </c>
      <c r="C1116" t="s">
        <v>69</v>
      </c>
      <c r="D1116" t="s">
        <v>2238</v>
      </c>
      <c r="E1116" t="s">
        <v>2239</v>
      </c>
      <c r="F1116" s="1" t="s">
        <v>2240</v>
      </c>
      <c r="G1116" t="s">
        <v>2241</v>
      </c>
      <c r="H1116" t="s">
        <v>364</v>
      </c>
      <c r="I1116">
        <v>69</v>
      </c>
      <c r="J1116">
        <v>4376.58</v>
      </c>
      <c r="K1116">
        <v>4376.58</v>
      </c>
      <c r="L1116">
        <v>4376.58</v>
      </c>
      <c r="M1116">
        <v>4376.58</v>
      </c>
      <c r="N1116" t="s">
        <v>45</v>
      </c>
      <c r="O1116">
        <v>1</v>
      </c>
      <c r="P1116" s="3">
        <f t="shared" si="34"/>
        <v>4376.58</v>
      </c>
      <c r="Q1116" s="3" t="str">
        <f t="shared" si="35"/>
        <v>00007999184376.58</v>
      </c>
      <c r="AB1116" t="s">
        <v>85</v>
      </c>
    </row>
    <row r="1117" spans="1:30" hidden="1">
      <c r="A1117" t="s">
        <v>2005</v>
      </c>
      <c r="B1117" t="s">
        <v>96</v>
      </c>
      <c r="C1117" t="s">
        <v>69</v>
      </c>
      <c r="D1117" t="s">
        <v>2242</v>
      </c>
      <c r="E1117" t="s">
        <v>2243</v>
      </c>
      <c r="F1117" s="1" t="s">
        <v>2244</v>
      </c>
      <c r="G1117" t="s">
        <v>2245</v>
      </c>
      <c r="H1117" t="s">
        <v>374</v>
      </c>
      <c r="I1117">
        <v>68</v>
      </c>
      <c r="J1117">
        <v>20000</v>
      </c>
      <c r="K1117">
        <v>20000</v>
      </c>
      <c r="L1117">
        <v>20000</v>
      </c>
      <c r="M1117">
        <v>20000</v>
      </c>
      <c r="N1117" t="s">
        <v>45</v>
      </c>
      <c r="O1117">
        <v>1</v>
      </c>
      <c r="P1117" s="3">
        <f t="shared" si="34"/>
        <v>20000</v>
      </c>
      <c r="Q1117" s="3" t="str">
        <f t="shared" si="35"/>
        <v>1285520000</v>
      </c>
      <c r="R1117" t="s">
        <v>186</v>
      </c>
      <c r="AB1117" t="s">
        <v>85</v>
      </c>
    </row>
    <row r="1118" spans="1:30" hidden="1">
      <c r="A1118" t="s">
        <v>2005</v>
      </c>
      <c r="B1118" t="s">
        <v>197</v>
      </c>
      <c r="C1118" t="s">
        <v>69</v>
      </c>
      <c r="D1118" t="s">
        <v>2246</v>
      </c>
      <c r="E1118" t="s">
        <v>2247</v>
      </c>
      <c r="F1118" s="1" t="s">
        <v>2248</v>
      </c>
      <c r="G1118" t="s">
        <v>2249</v>
      </c>
      <c r="H1118" t="s">
        <v>390</v>
      </c>
      <c r="I1118">
        <v>67</v>
      </c>
      <c r="J1118">
        <v>2821.16</v>
      </c>
      <c r="K1118">
        <v>2821.16</v>
      </c>
      <c r="L1118">
        <v>2821.16</v>
      </c>
      <c r="M1118">
        <v>2821.16</v>
      </c>
      <c r="N1118" t="s">
        <v>45</v>
      </c>
      <c r="O1118">
        <v>1</v>
      </c>
      <c r="P1118" s="3">
        <f t="shared" si="34"/>
        <v>2821.16</v>
      </c>
      <c r="Q1118" s="3" t="str">
        <f t="shared" si="35"/>
        <v>MI1859122821.16</v>
      </c>
      <c r="R1118" t="s">
        <v>186</v>
      </c>
      <c r="AB1118" t="s">
        <v>85</v>
      </c>
    </row>
    <row r="1119" spans="1:30" hidden="1">
      <c r="A1119" t="s">
        <v>2005</v>
      </c>
      <c r="B1119" t="s">
        <v>206</v>
      </c>
      <c r="C1119" t="s">
        <v>69</v>
      </c>
      <c r="D1119" t="s">
        <v>2250</v>
      </c>
      <c r="E1119" t="s">
        <v>2251</v>
      </c>
      <c r="F1119" s="1" t="s">
        <v>2251</v>
      </c>
      <c r="G1119" t="s">
        <v>2252</v>
      </c>
      <c r="H1119" t="s">
        <v>409</v>
      </c>
      <c r="I1119">
        <v>66</v>
      </c>
      <c r="J1119">
        <v>500000</v>
      </c>
      <c r="K1119">
        <v>500000</v>
      </c>
      <c r="L1119">
        <v>500000</v>
      </c>
      <c r="M1119">
        <v>500000</v>
      </c>
      <c r="N1119" t="s">
        <v>45</v>
      </c>
      <c r="O1119">
        <v>1</v>
      </c>
      <c r="P1119" s="3">
        <f t="shared" si="34"/>
        <v>500000</v>
      </c>
      <c r="Q1119" s="3" t="str">
        <f t="shared" si="35"/>
        <v>CLLIC251001500000</v>
      </c>
      <c r="R1119" t="s">
        <v>2253</v>
      </c>
      <c r="S1119" t="s">
        <v>233</v>
      </c>
      <c r="T1119" t="s">
        <v>102</v>
      </c>
      <c r="AB1119" t="s">
        <v>85</v>
      </c>
    </row>
    <row r="1120" spans="1:30" hidden="1">
      <c r="A1120" t="s">
        <v>2005</v>
      </c>
      <c r="B1120" t="s">
        <v>206</v>
      </c>
      <c r="C1120" t="s">
        <v>69</v>
      </c>
      <c r="D1120" t="s">
        <v>2254</v>
      </c>
      <c r="E1120" t="s">
        <v>2255</v>
      </c>
      <c r="F1120" s="1" t="s">
        <v>2256</v>
      </c>
      <c r="G1120" t="s">
        <v>2257</v>
      </c>
      <c r="H1120" t="s">
        <v>409</v>
      </c>
      <c r="I1120">
        <v>66</v>
      </c>
      <c r="J1120">
        <v>716.58</v>
      </c>
      <c r="K1120">
        <v>716.58</v>
      </c>
      <c r="L1120">
        <v>716.58</v>
      </c>
      <c r="M1120">
        <v>716.58</v>
      </c>
      <c r="N1120" t="s">
        <v>45</v>
      </c>
      <c r="O1120">
        <v>1</v>
      </c>
      <c r="P1120" s="3">
        <f t="shared" si="34"/>
        <v>716.58</v>
      </c>
      <c r="Q1120" s="3" t="str">
        <f t="shared" si="35"/>
        <v>2446201716.58</v>
      </c>
      <c r="R1120" t="s">
        <v>318</v>
      </c>
      <c r="S1120" t="s">
        <v>60</v>
      </c>
      <c r="AB1120" t="s">
        <v>85</v>
      </c>
    </row>
    <row r="1121" spans="1:30" hidden="1">
      <c r="A1121" t="s">
        <v>2005</v>
      </c>
      <c r="B1121" t="s">
        <v>206</v>
      </c>
      <c r="C1121" t="s">
        <v>69</v>
      </c>
      <c r="D1121" t="s">
        <v>2258</v>
      </c>
      <c r="E1121" t="s">
        <v>2255</v>
      </c>
      <c r="F1121" s="1" t="s">
        <v>2256</v>
      </c>
      <c r="G1121" t="s">
        <v>2257</v>
      </c>
      <c r="H1121" t="s">
        <v>409</v>
      </c>
      <c r="I1121">
        <v>66</v>
      </c>
      <c r="J1121">
        <v>716.58</v>
      </c>
      <c r="K1121">
        <v>716.58</v>
      </c>
      <c r="L1121">
        <v>716.58</v>
      </c>
      <c r="M1121">
        <v>716.58</v>
      </c>
      <c r="N1121" t="s">
        <v>45</v>
      </c>
      <c r="O1121">
        <v>1</v>
      </c>
      <c r="P1121" s="3">
        <f t="shared" si="34"/>
        <v>716.58</v>
      </c>
      <c r="Q1121" s="3" t="str">
        <f t="shared" si="35"/>
        <v>2446200716.58</v>
      </c>
      <c r="R1121" t="s">
        <v>318</v>
      </c>
      <c r="S1121" t="s">
        <v>60</v>
      </c>
      <c r="AB1121" t="s">
        <v>85</v>
      </c>
    </row>
    <row r="1122" spans="1:30" hidden="1">
      <c r="A1122" t="s">
        <v>2005</v>
      </c>
      <c r="B1122" t="s">
        <v>213</v>
      </c>
      <c r="C1122" t="s">
        <v>69</v>
      </c>
      <c r="D1122" t="s">
        <v>2259</v>
      </c>
      <c r="E1122" t="s">
        <v>2260</v>
      </c>
      <c r="F1122" s="1" t="s">
        <v>2261</v>
      </c>
      <c r="G1122" t="s">
        <v>2262</v>
      </c>
      <c r="H1122" t="s">
        <v>420</v>
      </c>
      <c r="I1122">
        <v>65</v>
      </c>
      <c r="J1122">
        <v>49422.92</v>
      </c>
      <c r="K1122">
        <v>49422.92</v>
      </c>
      <c r="L1122">
        <v>49422.92</v>
      </c>
      <c r="M1122">
        <v>49422.92</v>
      </c>
      <c r="N1122" t="s">
        <v>45</v>
      </c>
      <c r="O1122">
        <v>1</v>
      </c>
      <c r="P1122" s="3">
        <f t="shared" si="34"/>
        <v>49422.92</v>
      </c>
      <c r="Q1122" s="3" t="str">
        <f t="shared" si="35"/>
        <v>B2035601549422.92</v>
      </c>
      <c r="R1122" t="s">
        <v>2263</v>
      </c>
      <c r="S1122" t="s">
        <v>60</v>
      </c>
      <c r="T1122" t="s">
        <v>102</v>
      </c>
      <c r="AB1122" t="s">
        <v>85</v>
      </c>
    </row>
    <row r="1123" spans="1:30" hidden="1">
      <c r="A1123" t="s">
        <v>2005</v>
      </c>
      <c r="B1123" t="s">
        <v>213</v>
      </c>
      <c r="C1123" t="s">
        <v>69</v>
      </c>
      <c r="D1123" t="s">
        <v>2264</v>
      </c>
      <c r="E1123" t="s">
        <v>2260</v>
      </c>
      <c r="F1123" s="1" t="s">
        <v>2261</v>
      </c>
      <c r="G1123" t="s">
        <v>2265</v>
      </c>
      <c r="H1123" t="s">
        <v>420</v>
      </c>
      <c r="I1123">
        <v>65</v>
      </c>
      <c r="J1123">
        <v>3800</v>
      </c>
      <c r="K1123">
        <v>3800</v>
      </c>
      <c r="L1123">
        <v>3800</v>
      </c>
      <c r="M1123">
        <v>3800</v>
      </c>
      <c r="N1123" t="s">
        <v>45</v>
      </c>
      <c r="O1123">
        <v>1</v>
      </c>
      <c r="P1123" s="3">
        <f t="shared" si="34"/>
        <v>3800</v>
      </c>
      <c r="Q1123" s="3" t="str">
        <f t="shared" si="35"/>
        <v>B203622313800</v>
      </c>
      <c r="R1123" t="s">
        <v>2263</v>
      </c>
      <c r="S1123" t="s">
        <v>60</v>
      </c>
      <c r="T1123" t="s">
        <v>102</v>
      </c>
      <c r="AB1123" t="s">
        <v>85</v>
      </c>
    </row>
    <row r="1124" spans="1:30" hidden="1">
      <c r="A1124" t="s">
        <v>2005</v>
      </c>
      <c r="B1124" t="s">
        <v>213</v>
      </c>
      <c r="C1124" t="s">
        <v>69</v>
      </c>
      <c r="D1124" t="s">
        <v>2266</v>
      </c>
      <c r="E1124" t="s">
        <v>2260</v>
      </c>
      <c r="F1124" s="1" t="s">
        <v>2261</v>
      </c>
      <c r="G1124" t="s">
        <v>2267</v>
      </c>
      <c r="H1124" t="s">
        <v>420</v>
      </c>
      <c r="I1124">
        <v>65</v>
      </c>
      <c r="J1124">
        <v>6166.15</v>
      </c>
      <c r="K1124">
        <v>6166.15</v>
      </c>
      <c r="L1124">
        <v>6166.15</v>
      </c>
      <c r="M1124">
        <v>6166.15</v>
      </c>
      <c r="N1124" t="s">
        <v>45</v>
      </c>
      <c r="O1124">
        <v>1</v>
      </c>
      <c r="P1124" s="3">
        <f t="shared" si="34"/>
        <v>6166.15</v>
      </c>
      <c r="Q1124" s="3" t="str">
        <f t="shared" si="35"/>
        <v>B203620026166.15</v>
      </c>
      <c r="R1124" t="s">
        <v>2263</v>
      </c>
      <c r="S1124" t="s">
        <v>60</v>
      </c>
      <c r="T1124" t="s">
        <v>102</v>
      </c>
      <c r="AB1124" t="s">
        <v>85</v>
      </c>
    </row>
    <row r="1125" spans="1:30" hidden="1">
      <c r="A1125" t="s">
        <v>2005</v>
      </c>
      <c r="B1125" t="s">
        <v>349</v>
      </c>
      <c r="C1125" t="s">
        <v>69</v>
      </c>
      <c r="D1125" t="s">
        <v>2268</v>
      </c>
      <c r="E1125" t="s">
        <v>2269</v>
      </c>
      <c r="F1125" s="1" t="s">
        <v>2270</v>
      </c>
      <c r="G1125" t="s">
        <v>2271</v>
      </c>
      <c r="H1125" t="s">
        <v>426</v>
      </c>
      <c r="I1125">
        <v>64</v>
      </c>
      <c r="J1125">
        <v>32000</v>
      </c>
      <c r="K1125">
        <v>2000</v>
      </c>
      <c r="L1125">
        <v>32000</v>
      </c>
      <c r="M1125">
        <v>2000</v>
      </c>
      <c r="N1125" t="s">
        <v>45</v>
      </c>
      <c r="O1125">
        <v>1</v>
      </c>
      <c r="P1125" s="3">
        <f t="shared" si="34"/>
        <v>2000</v>
      </c>
      <c r="Q1125" s="3" t="str">
        <f t="shared" si="35"/>
        <v>TEN-0000402000</v>
      </c>
      <c r="R1125" t="s">
        <v>2115</v>
      </c>
      <c r="S1125" t="s">
        <v>233</v>
      </c>
      <c r="T1125" t="s">
        <v>102</v>
      </c>
      <c r="AB1125" t="s">
        <v>32</v>
      </c>
      <c r="AD1125" t="s">
        <v>2116</v>
      </c>
    </row>
    <row r="1126" spans="1:30" hidden="1">
      <c r="A1126" t="s">
        <v>2005</v>
      </c>
      <c r="B1126" t="s">
        <v>426</v>
      </c>
      <c r="C1126" t="s">
        <v>69</v>
      </c>
      <c r="D1126" t="s">
        <v>2272</v>
      </c>
      <c r="E1126" t="s">
        <v>2273</v>
      </c>
      <c r="F1126" s="1" t="s">
        <v>433</v>
      </c>
      <c r="G1126" t="s">
        <v>2274</v>
      </c>
      <c r="H1126" t="s">
        <v>426</v>
      </c>
      <c r="I1126">
        <v>64</v>
      </c>
      <c r="J1126">
        <v>15000</v>
      </c>
      <c r="K1126">
        <v>15000</v>
      </c>
      <c r="L1126">
        <v>15000</v>
      </c>
      <c r="M1126">
        <v>15000</v>
      </c>
      <c r="N1126" t="s">
        <v>45</v>
      </c>
      <c r="O1126">
        <v>1</v>
      </c>
      <c r="P1126" s="3">
        <f t="shared" si="34"/>
        <v>15000</v>
      </c>
      <c r="Q1126" s="3" t="str">
        <f t="shared" si="35"/>
        <v>199515000</v>
      </c>
      <c r="R1126" t="s">
        <v>306</v>
      </c>
      <c r="S1126" t="s">
        <v>60</v>
      </c>
      <c r="AB1126" t="s">
        <v>32</v>
      </c>
    </row>
    <row r="1127" spans="1:30" hidden="1">
      <c r="A1127" t="s">
        <v>2005</v>
      </c>
      <c r="B1127" t="s">
        <v>426</v>
      </c>
      <c r="C1127" t="s">
        <v>69</v>
      </c>
      <c r="D1127" t="s">
        <v>2275</v>
      </c>
      <c r="E1127" t="s">
        <v>2098</v>
      </c>
      <c r="F1127" s="1" t="s">
        <v>2099</v>
      </c>
      <c r="G1127" t="s">
        <v>2100</v>
      </c>
      <c r="H1127" t="s">
        <v>426</v>
      </c>
      <c r="I1127">
        <v>64</v>
      </c>
      <c r="J1127">
        <v>8097.5</v>
      </c>
      <c r="K1127">
        <v>8097.5</v>
      </c>
      <c r="L1127">
        <v>8097.5</v>
      </c>
      <c r="M1127">
        <v>8097.5</v>
      </c>
      <c r="N1127" t="s">
        <v>45</v>
      </c>
      <c r="O1127">
        <v>1</v>
      </c>
      <c r="P1127" s="3">
        <f t="shared" si="34"/>
        <v>8097.5</v>
      </c>
      <c r="Q1127" s="3" t="str">
        <f t="shared" si="35"/>
        <v>SIN0689998097.5</v>
      </c>
      <c r="AB1127" t="s">
        <v>32</v>
      </c>
    </row>
    <row r="1128" spans="1:30" hidden="1">
      <c r="A1128" t="s">
        <v>2005</v>
      </c>
      <c r="B1128" t="s">
        <v>426</v>
      </c>
      <c r="C1128" t="s">
        <v>69</v>
      </c>
      <c r="D1128" t="s">
        <v>2276</v>
      </c>
      <c r="E1128" t="s">
        <v>2098</v>
      </c>
      <c r="F1128" s="1" t="s">
        <v>2099</v>
      </c>
      <c r="G1128" t="s">
        <v>2277</v>
      </c>
      <c r="H1128" t="s">
        <v>426</v>
      </c>
      <c r="I1128">
        <v>64</v>
      </c>
      <c r="J1128">
        <v>647.5</v>
      </c>
      <c r="K1128">
        <v>647.5</v>
      </c>
      <c r="L1128">
        <v>647.5</v>
      </c>
      <c r="M1128">
        <v>647.5</v>
      </c>
      <c r="N1128" t="s">
        <v>45</v>
      </c>
      <c r="O1128">
        <v>1</v>
      </c>
      <c r="P1128" s="3">
        <f t="shared" si="34"/>
        <v>647.5</v>
      </c>
      <c r="Q1128" s="3" t="str">
        <f t="shared" si="35"/>
        <v>SIN069000647.5</v>
      </c>
      <c r="AB1128" t="s">
        <v>32</v>
      </c>
    </row>
    <row r="1129" spans="1:30" hidden="1">
      <c r="A1129" t="s">
        <v>2005</v>
      </c>
      <c r="B1129" t="s">
        <v>374</v>
      </c>
      <c r="C1129" t="s">
        <v>69</v>
      </c>
      <c r="D1129" t="s">
        <v>2278</v>
      </c>
      <c r="E1129" t="s">
        <v>2081</v>
      </c>
      <c r="F1129" s="1" t="s">
        <v>2082</v>
      </c>
      <c r="G1129" t="s">
        <v>2279</v>
      </c>
      <c r="H1129" t="s">
        <v>444</v>
      </c>
      <c r="I1129">
        <v>62</v>
      </c>
      <c r="J1129">
        <v>732354.64</v>
      </c>
      <c r="K1129">
        <v>732354.64</v>
      </c>
      <c r="L1129">
        <v>732354.64</v>
      </c>
      <c r="M1129">
        <v>732354.64</v>
      </c>
      <c r="N1129" t="s">
        <v>45</v>
      </c>
      <c r="O1129">
        <v>1</v>
      </c>
      <c r="P1129" s="3">
        <f t="shared" si="34"/>
        <v>732354.64</v>
      </c>
      <c r="Q1129" s="3" t="str">
        <f t="shared" si="35"/>
        <v>1025-S-INV1732354.64</v>
      </c>
      <c r="R1129" t="s">
        <v>1784</v>
      </c>
      <c r="S1129" t="s">
        <v>60</v>
      </c>
      <c r="AB1129" t="s">
        <v>445</v>
      </c>
    </row>
    <row r="1130" spans="1:30" hidden="1">
      <c r="A1130" t="s">
        <v>2005</v>
      </c>
      <c r="B1130" t="s">
        <v>215</v>
      </c>
      <c r="C1130" t="s">
        <v>69</v>
      </c>
      <c r="D1130" t="s">
        <v>2280</v>
      </c>
      <c r="E1130" t="s">
        <v>2024</v>
      </c>
      <c r="F1130" s="1" t="s">
        <v>2025</v>
      </c>
      <c r="G1130" t="s">
        <v>2281</v>
      </c>
      <c r="H1130" t="s">
        <v>451</v>
      </c>
      <c r="I1130">
        <v>61</v>
      </c>
      <c r="J1130">
        <v>114</v>
      </c>
      <c r="K1130">
        <v>114</v>
      </c>
      <c r="L1130">
        <v>114</v>
      </c>
      <c r="M1130">
        <v>114</v>
      </c>
      <c r="N1130" t="s">
        <v>45</v>
      </c>
      <c r="O1130">
        <v>1</v>
      </c>
      <c r="P1130" s="3">
        <f t="shared" si="34"/>
        <v>114</v>
      </c>
      <c r="Q1130" s="3" t="str">
        <f t="shared" si="35"/>
        <v>630024114</v>
      </c>
      <c r="R1130" t="s">
        <v>2121</v>
      </c>
      <c r="S1130" t="s">
        <v>60</v>
      </c>
    </row>
    <row r="1131" spans="1:30" hidden="1">
      <c r="A1131" t="s">
        <v>2005</v>
      </c>
      <c r="B1131" t="s">
        <v>215</v>
      </c>
      <c r="C1131" t="s">
        <v>69</v>
      </c>
      <c r="D1131" t="s">
        <v>2282</v>
      </c>
      <c r="E1131" t="s">
        <v>2283</v>
      </c>
      <c r="F1131" s="1" t="s">
        <v>2283</v>
      </c>
      <c r="G1131" t="s">
        <v>2284</v>
      </c>
      <c r="H1131" t="s">
        <v>451</v>
      </c>
      <c r="I1131">
        <v>61</v>
      </c>
      <c r="J1131">
        <v>10995</v>
      </c>
      <c r="K1131">
        <v>10995</v>
      </c>
      <c r="L1131">
        <v>10995</v>
      </c>
      <c r="M1131">
        <v>10995</v>
      </c>
      <c r="N1131" t="s">
        <v>45</v>
      </c>
      <c r="O1131">
        <v>1</v>
      </c>
      <c r="P1131" s="3">
        <f t="shared" si="34"/>
        <v>10995</v>
      </c>
      <c r="Q1131" s="3" t="str">
        <f t="shared" si="35"/>
        <v>SLINV11426910995</v>
      </c>
      <c r="R1131" t="s">
        <v>2253</v>
      </c>
      <c r="S1131" t="s">
        <v>60</v>
      </c>
      <c r="T1131" t="s">
        <v>102</v>
      </c>
    </row>
    <row r="1132" spans="1:30" hidden="1">
      <c r="A1132" t="s">
        <v>2005</v>
      </c>
      <c r="B1132" t="s">
        <v>280</v>
      </c>
      <c r="C1132" t="s">
        <v>69</v>
      </c>
      <c r="D1132" t="s">
        <v>2285</v>
      </c>
      <c r="E1132" t="s">
        <v>2286</v>
      </c>
      <c r="F1132" s="1" t="s">
        <v>309</v>
      </c>
      <c r="G1132" t="s">
        <v>2287</v>
      </c>
      <c r="H1132" t="s">
        <v>451</v>
      </c>
      <c r="I1132">
        <v>61</v>
      </c>
      <c r="J1132">
        <v>8000</v>
      </c>
      <c r="K1132">
        <v>8000</v>
      </c>
      <c r="L1132">
        <v>8000</v>
      </c>
      <c r="M1132">
        <v>8000</v>
      </c>
      <c r="N1132" t="s">
        <v>45</v>
      </c>
      <c r="O1132">
        <v>1</v>
      </c>
      <c r="P1132" s="3">
        <f t="shared" si="34"/>
        <v>8000</v>
      </c>
      <c r="Q1132" s="3" t="str">
        <f t="shared" si="35"/>
        <v>208A0158398000</v>
      </c>
      <c r="R1132" t="s">
        <v>2288</v>
      </c>
      <c r="S1132" t="s">
        <v>60</v>
      </c>
      <c r="T1132" t="s">
        <v>102</v>
      </c>
      <c r="AA1132" t="s">
        <v>2289</v>
      </c>
    </row>
    <row r="1133" spans="1:30" hidden="1">
      <c r="A1133" t="s">
        <v>2005</v>
      </c>
      <c r="B1133" t="s">
        <v>96</v>
      </c>
      <c r="C1133" t="s">
        <v>2073</v>
      </c>
      <c r="D1133" t="s">
        <v>2290</v>
      </c>
      <c r="E1133" t="s">
        <v>1423</v>
      </c>
      <c r="F1133" s="1" t="s">
        <v>1424</v>
      </c>
      <c r="G1133" t="s">
        <v>32</v>
      </c>
      <c r="H1133" t="s">
        <v>32</v>
      </c>
      <c r="I1133" t="s">
        <v>32</v>
      </c>
      <c r="J1133">
        <v>-1548.17</v>
      </c>
      <c r="K1133">
        <v>-29.84</v>
      </c>
      <c r="L1133">
        <v>-1548.17</v>
      </c>
      <c r="M1133">
        <v>-29.84</v>
      </c>
      <c r="N1133" t="s">
        <v>45</v>
      </c>
      <c r="O1133">
        <v>1</v>
      </c>
      <c r="P1133" s="3">
        <f t="shared" si="34"/>
        <v>-29.84</v>
      </c>
      <c r="Q1133" s="3" t="str">
        <f t="shared" si="35"/>
        <v>TENSTORR00003_Nov25-29.84</v>
      </c>
      <c r="AB1133" t="s">
        <v>40</v>
      </c>
    </row>
    <row r="1134" spans="1:30" hidden="1">
      <c r="A1134" t="s">
        <v>2005</v>
      </c>
      <c r="B1134" t="s">
        <v>374</v>
      </c>
      <c r="C1134" t="s">
        <v>2073</v>
      </c>
      <c r="D1134" t="s">
        <v>2291</v>
      </c>
      <c r="E1134" t="s">
        <v>2292</v>
      </c>
      <c r="F1134" s="1" t="s">
        <v>2293</v>
      </c>
      <c r="G1134" t="s">
        <v>2294</v>
      </c>
      <c r="H1134" t="s">
        <v>32</v>
      </c>
      <c r="I1134" t="s">
        <v>32</v>
      </c>
      <c r="J1134">
        <v>-794.67</v>
      </c>
      <c r="K1134">
        <v>-794.67</v>
      </c>
      <c r="L1134">
        <v>-794.67</v>
      </c>
      <c r="M1134">
        <v>-794.67</v>
      </c>
      <c r="N1134" t="s">
        <v>45</v>
      </c>
      <c r="O1134">
        <v>1</v>
      </c>
      <c r="P1134" s="3">
        <f t="shared" si="34"/>
        <v>-794.67</v>
      </c>
      <c r="Q1134" s="3" t="str">
        <f t="shared" si="35"/>
        <v>34544-794.67</v>
      </c>
      <c r="AB1134" t="s">
        <v>40</v>
      </c>
    </row>
    <row r="1135" spans="1:30" hidden="1">
      <c r="A1135" t="s">
        <v>2005</v>
      </c>
      <c r="B1135" t="s">
        <v>252</v>
      </c>
      <c r="C1135" t="s">
        <v>69</v>
      </c>
      <c r="D1135" t="s">
        <v>2295</v>
      </c>
      <c r="E1135" t="s">
        <v>2296</v>
      </c>
      <c r="F1135" s="1" t="s">
        <v>2297</v>
      </c>
      <c r="G1135" t="s">
        <v>2298</v>
      </c>
      <c r="H1135" t="s">
        <v>474</v>
      </c>
      <c r="I1135">
        <v>60</v>
      </c>
      <c r="J1135">
        <v>23000</v>
      </c>
      <c r="K1135">
        <v>23000</v>
      </c>
      <c r="L1135">
        <v>23000</v>
      </c>
      <c r="M1135">
        <v>23000</v>
      </c>
      <c r="N1135" t="s">
        <v>45</v>
      </c>
      <c r="O1135">
        <v>1</v>
      </c>
      <c r="P1135" s="3">
        <f t="shared" si="34"/>
        <v>23000</v>
      </c>
      <c r="Q1135" s="3" t="str">
        <f t="shared" si="35"/>
        <v>413923000</v>
      </c>
      <c r="R1135" t="s">
        <v>2299</v>
      </c>
      <c r="S1135" t="s">
        <v>60</v>
      </c>
      <c r="T1135" t="s">
        <v>102</v>
      </c>
    </row>
    <row r="1136" spans="1:30" hidden="1">
      <c r="A1136" t="s">
        <v>2005</v>
      </c>
      <c r="B1136" t="s">
        <v>474</v>
      </c>
      <c r="C1136" t="s">
        <v>69</v>
      </c>
      <c r="D1136" t="s">
        <v>2300</v>
      </c>
      <c r="E1136" t="s">
        <v>2301</v>
      </c>
      <c r="F1136" s="1" t="s">
        <v>2301</v>
      </c>
      <c r="G1136" t="s">
        <v>2302</v>
      </c>
      <c r="H1136" t="s">
        <v>474</v>
      </c>
      <c r="I1136">
        <v>60</v>
      </c>
      <c r="J1136">
        <v>60211.62</v>
      </c>
      <c r="K1136">
        <v>60211.62</v>
      </c>
      <c r="L1136">
        <v>60211.62</v>
      </c>
      <c r="M1136">
        <v>60211.62</v>
      </c>
      <c r="N1136" t="s">
        <v>45</v>
      </c>
      <c r="O1136">
        <v>1</v>
      </c>
      <c r="P1136" s="3">
        <f t="shared" si="34"/>
        <v>60211.62</v>
      </c>
      <c r="Q1136" s="3" t="str">
        <f t="shared" si="35"/>
        <v>INV561460211.62</v>
      </c>
      <c r="R1136" t="s">
        <v>186</v>
      </c>
    </row>
    <row r="1137" spans="1:30" hidden="1">
      <c r="A1137" t="s">
        <v>2005</v>
      </c>
      <c r="B1137" t="s">
        <v>474</v>
      </c>
      <c r="C1137" t="s">
        <v>69</v>
      </c>
      <c r="D1137" t="s">
        <v>2303</v>
      </c>
      <c r="E1137" t="s">
        <v>2304</v>
      </c>
      <c r="F1137" s="1" t="s">
        <v>2305</v>
      </c>
      <c r="G1137" t="s">
        <v>2306</v>
      </c>
      <c r="H1137" t="s">
        <v>474</v>
      </c>
      <c r="I1137">
        <v>60</v>
      </c>
      <c r="J1137">
        <v>114</v>
      </c>
      <c r="K1137">
        <v>114</v>
      </c>
      <c r="L1137">
        <v>114</v>
      </c>
      <c r="M1137">
        <v>114</v>
      </c>
      <c r="N1137" t="s">
        <v>45</v>
      </c>
      <c r="O1137">
        <v>1</v>
      </c>
      <c r="P1137" s="3">
        <f t="shared" si="34"/>
        <v>114</v>
      </c>
      <c r="Q1137" s="3" t="str">
        <f t="shared" si="35"/>
        <v>5868369114</v>
      </c>
      <c r="R1137" t="s">
        <v>2167</v>
      </c>
      <c r="S1137" t="s">
        <v>233</v>
      </c>
    </row>
    <row r="1138" spans="1:30" hidden="1">
      <c r="A1138" t="s">
        <v>2005</v>
      </c>
      <c r="B1138" t="s">
        <v>687</v>
      </c>
      <c r="C1138" t="s">
        <v>69</v>
      </c>
      <c r="D1138" t="s">
        <v>2307</v>
      </c>
      <c r="E1138" t="s">
        <v>2308</v>
      </c>
      <c r="F1138" s="1" t="s">
        <v>415</v>
      </c>
      <c r="G1138" t="s">
        <v>2309</v>
      </c>
      <c r="H1138" t="s">
        <v>474</v>
      </c>
      <c r="I1138">
        <v>60</v>
      </c>
      <c r="J1138">
        <v>8000</v>
      </c>
      <c r="K1138">
        <v>8000</v>
      </c>
      <c r="L1138">
        <v>8000</v>
      </c>
      <c r="M1138">
        <v>8000</v>
      </c>
      <c r="N1138" t="s">
        <v>45</v>
      </c>
      <c r="O1138">
        <v>1</v>
      </c>
      <c r="P1138" s="3">
        <f t="shared" si="34"/>
        <v>8000</v>
      </c>
      <c r="Q1138" s="3" t="str">
        <f t="shared" si="35"/>
        <v>USPDS167788_18000</v>
      </c>
      <c r="R1138" t="s">
        <v>202</v>
      </c>
    </row>
    <row r="1139" spans="1:30" hidden="1">
      <c r="A1139" t="s">
        <v>2005</v>
      </c>
      <c r="B1139" t="s">
        <v>260</v>
      </c>
      <c r="C1139" t="s">
        <v>69</v>
      </c>
      <c r="D1139" t="s">
        <v>2310</v>
      </c>
      <c r="E1139" t="s">
        <v>2009</v>
      </c>
      <c r="F1139" s="1" t="s">
        <v>2010</v>
      </c>
      <c r="G1139" t="s">
        <v>2311</v>
      </c>
      <c r="H1139" t="s">
        <v>504</v>
      </c>
      <c r="I1139">
        <v>58</v>
      </c>
      <c r="J1139">
        <v>12800.44</v>
      </c>
      <c r="K1139">
        <v>12800.44</v>
      </c>
      <c r="L1139">
        <v>12800.44</v>
      </c>
      <c r="M1139">
        <v>12800.44</v>
      </c>
      <c r="N1139" t="s">
        <v>45</v>
      </c>
      <c r="O1139">
        <v>1</v>
      </c>
      <c r="P1139" s="3">
        <f t="shared" si="34"/>
        <v>12800.44</v>
      </c>
      <c r="Q1139" s="3" t="str">
        <f t="shared" si="35"/>
        <v>AG5LM4K12800.44</v>
      </c>
      <c r="R1139" t="s">
        <v>37</v>
      </c>
      <c r="S1139" t="s">
        <v>60</v>
      </c>
      <c r="T1139" t="s">
        <v>102</v>
      </c>
      <c r="AB1139" t="e">
        <v>#VALUE!</v>
      </c>
      <c r="AD1139" t="s">
        <v>2186</v>
      </c>
    </row>
    <row r="1140" spans="1:30" hidden="1">
      <c r="A1140" t="s">
        <v>2005</v>
      </c>
      <c r="B1140" t="s">
        <v>515</v>
      </c>
      <c r="C1140" t="s">
        <v>69</v>
      </c>
      <c r="D1140" t="s">
        <v>2312</v>
      </c>
      <c r="E1140" t="s">
        <v>2313</v>
      </c>
      <c r="F1140" s="1" t="s">
        <v>2314</v>
      </c>
      <c r="G1140" t="s">
        <v>2315</v>
      </c>
      <c r="H1140" t="s">
        <v>515</v>
      </c>
      <c r="I1140">
        <v>57</v>
      </c>
      <c r="J1140">
        <v>5000</v>
      </c>
      <c r="K1140">
        <v>5000</v>
      </c>
      <c r="L1140">
        <v>5000</v>
      </c>
      <c r="M1140">
        <v>5000</v>
      </c>
      <c r="N1140" t="s">
        <v>45</v>
      </c>
      <c r="O1140">
        <v>1</v>
      </c>
      <c r="P1140" s="3">
        <f t="shared" si="34"/>
        <v>5000</v>
      </c>
      <c r="Q1140" s="3" t="str">
        <f t="shared" si="35"/>
        <v>200385000</v>
      </c>
      <c r="R1140" t="s">
        <v>2115</v>
      </c>
      <c r="S1140" t="s">
        <v>233</v>
      </c>
    </row>
    <row r="1141" spans="1:30" hidden="1">
      <c r="A1141" t="s">
        <v>2005</v>
      </c>
      <c r="B1141" t="s">
        <v>522</v>
      </c>
      <c r="C1141" t="s">
        <v>69</v>
      </c>
      <c r="D1141" t="s">
        <v>2316</v>
      </c>
      <c r="E1141" t="s">
        <v>2317</v>
      </c>
      <c r="F1141" s="1" t="s">
        <v>2318</v>
      </c>
      <c r="G1141" t="s">
        <v>2319</v>
      </c>
      <c r="H1141" t="s">
        <v>527</v>
      </c>
      <c r="I1141">
        <v>55</v>
      </c>
      <c r="J1141">
        <v>563</v>
      </c>
      <c r="K1141">
        <v>563</v>
      </c>
      <c r="L1141">
        <v>563</v>
      </c>
      <c r="M1141">
        <v>563</v>
      </c>
      <c r="N1141" t="s">
        <v>45</v>
      </c>
      <c r="O1141">
        <v>1</v>
      </c>
      <c r="P1141" s="3">
        <f t="shared" si="34"/>
        <v>563</v>
      </c>
      <c r="Q1141" s="3" t="str">
        <f t="shared" si="35"/>
        <v>2361933981563</v>
      </c>
    </row>
    <row r="1142" spans="1:30" hidden="1">
      <c r="A1142" t="s">
        <v>2005</v>
      </c>
      <c r="B1142" t="s">
        <v>527</v>
      </c>
      <c r="C1142" t="s">
        <v>69</v>
      </c>
      <c r="D1142" t="s">
        <v>2320</v>
      </c>
      <c r="E1142" t="s">
        <v>2321</v>
      </c>
      <c r="F1142" s="1" t="s">
        <v>2321</v>
      </c>
      <c r="G1142" t="s">
        <v>2322</v>
      </c>
      <c r="H1142" t="s">
        <v>527</v>
      </c>
      <c r="I1142">
        <v>55</v>
      </c>
      <c r="J1142">
        <v>9500</v>
      </c>
      <c r="K1142">
        <v>9500</v>
      </c>
      <c r="L1142">
        <v>9500</v>
      </c>
      <c r="M1142">
        <v>9500</v>
      </c>
      <c r="N1142" t="s">
        <v>45</v>
      </c>
      <c r="O1142">
        <v>1</v>
      </c>
      <c r="P1142" s="3">
        <f t="shared" si="34"/>
        <v>9500</v>
      </c>
      <c r="Q1142" s="3" t="str">
        <f t="shared" si="35"/>
        <v>260939500</v>
      </c>
      <c r="R1142" t="s">
        <v>2323</v>
      </c>
      <c r="S1142" t="s">
        <v>60</v>
      </c>
      <c r="T1142" t="s">
        <v>102</v>
      </c>
    </row>
    <row r="1143" spans="1:30" hidden="1">
      <c r="A1143" t="s">
        <v>2005</v>
      </c>
      <c r="B1143" t="s">
        <v>527</v>
      </c>
      <c r="C1143" t="s">
        <v>69</v>
      </c>
      <c r="D1143" t="s">
        <v>2324</v>
      </c>
      <c r="E1143" t="s">
        <v>2325</v>
      </c>
      <c r="F1143" s="1" t="s">
        <v>2326</v>
      </c>
      <c r="G1143" t="s">
        <v>2327</v>
      </c>
      <c r="H1143" t="s">
        <v>527</v>
      </c>
      <c r="I1143">
        <v>55</v>
      </c>
      <c r="J1143">
        <v>27179</v>
      </c>
      <c r="K1143">
        <v>27179</v>
      </c>
      <c r="L1143">
        <v>27179</v>
      </c>
      <c r="M1143">
        <v>27179</v>
      </c>
      <c r="N1143" t="s">
        <v>45</v>
      </c>
      <c r="O1143">
        <v>1</v>
      </c>
      <c r="P1143" s="3">
        <f t="shared" ref="P1143:P1206" si="36">IF(N1143="CAD",$P$1,1)*M1143</f>
        <v>27179</v>
      </c>
      <c r="Q1143" s="3" t="str">
        <f t="shared" ref="Q1143:Q1206" si="37">D1143&amp;M1143</f>
        <v>217842227179</v>
      </c>
      <c r="R1143" t="s">
        <v>246</v>
      </c>
      <c r="S1143" t="s">
        <v>60</v>
      </c>
    </row>
    <row r="1144" spans="1:30" hidden="1">
      <c r="A1144" t="s">
        <v>2005</v>
      </c>
      <c r="B1144" t="s">
        <v>527</v>
      </c>
      <c r="C1144" t="s">
        <v>69</v>
      </c>
      <c r="D1144" t="s">
        <v>2328</v>
      </c>
      <c r="E1144" t="s">
        <v>2329</v>
      </c>
      <c r="F1144" s="1" t="s">
        <v>2330</v>
      </c>
      <c r="G1144" t="s">
        <v>2331</v>
      </c>
      <c r="H1144" t="s">
        <v>527</v>
      </c>
      <c r="I1144">
        <v>55</v>
      </c>
      <c r="J1144">
        <v>20000</v>
      </c>
      <c r="K1144">
        <v>20000</v>
      </c>
      <c r="L1144">
        <v>20000</v>
      </c>
      <c r="M1144">
        <v>20000</v>
      </c>
      <c r="N1144" t="s">
        <v>45</v>
      </c>
      <c r="O1144">
        <v>1</v>
      </c>
      <c r="P1144" s="3">
        <f t="shared" si="36"/>
        <v>20000</v>
      </c>
      <c r="Q1144" s="3" t="str">
        <f t="shared" si="37"/>
        <v>1800861420000</v>
      </c>
      <c r="R1144" t="s">
        <v>186</v>
      </c>
    </row>
    <row r="1145" spans="1:30" hidden="1">
      <c r="A1145" t="s">
        <v>2005</v>
      </c>
      <c r="B1145" t="s">
        <v>534</v>
      </c>
      <c r="C1145" t="s">
        <v>69</v>
      </c>
      <c r="D1145" t="s">
        <v>2332</v>
      </c>
      <c r="E1145" t="s">
        <v>2009</v>
      </c>
      <c r="F1145" s="1" t="s">
        <v>2010</v>
      </c>
      <c r="G1145" t="s">
        <v>2333</v>
      </c>
      <c r="H1145" t="s">
        <v>537</v>
      </c>
      <c r="I1145">
        <v>54</v>
      </c>
      <c r="J1145">
        <v>2048.0500000000002</v>
      </c>
      <c r="K1145">
        <v>2048.0500000000002</v>
      </c>
      <c r="L1145">
        <v>2048.0500000000002</v>
      </c>
      <c r="M1145">
        <v>2048.0500000000002</v>
      </c>
      <c r="N1145" t="s">
        <v>45</v>
      </c>
      <c r="O1145">
        <v>1</v>
      </c>
      <c r="P1145" s="3">
        <f t="shared" si="36"/>
        <v>2048.0500000000002</v>
      </c>
      <c r="Q1145" s="3" t="str">
        <f t="shared" si="37"/>
        <v>AG5T31Q2048.05</v>
      </c>
      <c r="R1145" t="s">
        <v>37</v>
      </c>
      <c r="S1145" t="s">
        <v>60</v>
      </c>
      <c r="T1145" t="s">
        <v>102</v>
      </c>
      <c r="AB1145" t="e">
        <v>#VALUE!</v>
      </c>
      <c r="AD1145" t="s">
        <v>2186</v>
      </c>
    </row>
    <row r="1146" spans="1:30" hidden="1">
      <c r="A1146" t="s">
        <v>2005</v>
      </c>
      <c r="B1146" t="s">
        <v>534</v>
      </c>
      <c r="C1146" t="s">
        <v>69</v>
      </c>
      <c r="D1146" t="s">
        <v>2334</v>
      </c>
      <c r="E1146" t="s">
        <v>2335</v>
      </c>
      <c r="F1146" s="1" t="s">
        <v>2336</v>
      </c>
      <c r="G1146" t="s">
        <v>2337</v>
      </c>
      <c r="H1146" t="s">
        <v>537</v>
      </c>
      <c r="I1146">
        <v>54</v>
      </c>
      <c r="J1146">
        <v>650</v>
      </c>
      <c r="K1146">
        <v>650</v>
      </c>
      <c r="L1146">
        <v>650</v>
      </c>
      <c r="M1146">
        <v>650</v>
      </c>
      <c r="N1146" t="s">
        <v>45</v>
      </c>
      <c r="O1146">
        <v>1</v>
      </c>
      <c r="P1146" s="3">
        <f t="shared" si="36"/>
        <v>650</v>
      </c>
      <c r="Q1146" s="3" t="str">
        <f t="shared" si="37"/>
        <v>S00617238650</v>
      </c>
      <c r="R1146" t="s">
        <v>139</v>
      </c>
      <c r="S1146" t="s">
        <v>60</v>
      </c>
    </row>
    <row r="1147" spans="1:30" hidden="1">
      <c r="A1147" t="s">
        <v>2005</v>
      </c>
      <c r="B1147" t="s">
        <v>534</v>
      </c>
      <c r="C1147" t="s">
        <v>69</v>
      </c>
      <c r="D1147" t="s">
        <v>2338</v>
      </c>
      <c r="E1147" t="s">
        <v>2009</v>
      </c>
      <c r="F1147" s="1" t="s">
        <v>2010</v>
      </c>
      <c r="G1147" t="s">
        <v>2339</v>
      </c>
      <c r="H1147" t="s">
        <v>537</v>
      </c>
      <c r="I1147">
        <v>54</v>
      </c>
      <c r="J1147">
        <v>3189.86</v>
      </c>
      <c r="K1147">
        <v>3189.86</v>
      </c>
      <c r="L1147">
        <v>3189.86</v>
      </c>
      <c r="M1147">
        <v>3189.86</v>
      </c>
      <c r="N1147" t="s">
        <v>45</v>
      </c>
      <c r="O1147">
        <v>1</v>
      </c>
      <c r="P1147" s="3">
        <f t="shared" si="36"/>
        <v>3189.86</v>
      </c>
      <c r="Q1147" s="3" t="str">
        <f t="shared" si="37"/>
        <v>AG5Y88J3189.86</v>
      </c>
      <c r="R1147" t="s">
        <v>37</v>
      </c>
      <c r="S1147" t="s">
        <v>60</v>
      </c>
      <c r="T1147" t="s">
        <v>102</v>
      </c>
      <c r="AB1147" t="e">
        <v>#VALUE!</v>
      </c>
      <c r="AD1147" t="s">
        <v>2186</v>
      </c>
    </row>
    <row r="1148" spans="1:30" hidden="1">
      <c r="A1148" t="s">
        <v>2005</v>
      </c>
      <c r="B1148" t="s">
        <v>364</v>
      </c>
      <c r="C1148" t="s">
        <v>69</v>
      </c>
      <c r="D1148" t="s">
        <v>2340</v>
      </c>
      <c r="E1148" t="s">
        <v>2286</v>
      </c>
      <c r="F1148" s="1" t="s">
        <v>309</v>
      </c>
      <c r="G1148" t="s">
        <v>2341</v>
      </c>
      <c r="H1148" t="s">
        <v>537</v>
      </c>
      <c r="I1148">
        <v>54</v>
      </c>
      <c r="J1148">
        <v>75000</v>
      </c>
      <c r="K1148">
        <v>75000</v>
      </c>
      <c r="L1148">
        <v>75000</v>
      </c>
      <c r="M1148">
        <v>75000</v>
      </c>
      <c r="N1148" t="s">
        <v>45</v>
      </c>
      <c r="O1148">
        <v>1</v>
      </c>
      <c r="P1148" s="3">
        <f t="shared" si="36"/>
        <v>75000</v>
      </c>
      <c r="Q1148" s="3" t="str">
        <f t="shared" si="37"/>
        <v>208A05048075000</v>
      </c>
      <c r="R1148" t="s">
        <v>2288</v>
      </c>
      <c r="S1148" t="s">
        <v>60</v>
      </c>
      <c r="T1148" t="s">
        <v>102</v>
      </c>
      <c r="AA1148" t="s">
        <v>2342</v>
      </c>
    </row>
    <row r="1149" spans="1:30" hidden="1">
      <c r="A1149" t="s">
        <v>2005</v>
      </c>
      <c r="B1149" t="s">
        <v>374</v>
      </c>
      <c r="C1149" t="s">
        <v>69</v>
      </c>
      <c r="D1149" t="s">
        <v>2343</v>
      </c>
      <c r="E1149" t="s">
        <v>2344</v>
      </c>
      <c r="F1149" s="1" t="s">
        <v>2345</v>
      </c>
      <c r="G1149" t="s">
        <v>2346</v>
      </c>
      <c r="H1149" t="s">
        <v>537</v>
      </c>
      <c r="I1149">
        <v>54</v>
      </c>
      <c r="J1149">
        <v>1749.91</v>
      </c>
      <c r="K1149">
        <v>1749.91</v>
      </c>
      <c r="L1149">
        <v>1749.91</v>
      </c>
      <c r="M1149">
        <v>1749.91</v>
      </c>
      <c r="N1149" t="s">
        <v>45</v>
      </c>
      <c r="O1149">
        <v>1</v>
      </c>
      <c r="P1149" s="3">
        <f t="shared" si="36"/>
        <v>1749.91</v>
      </c>
      <c r="Q1149" s="3" t="str">
        <f t="shared" si="37"/>
        <v>13004891011749.91</v>
      </c>
      <c r="R1149" t="s">
        <v>2167</v>
      </c>
      <c r="S1149" t="s">
        <v>60</v>
      </c>
    </row>
    <row r="1150" spans="1:30" hidden="1">
      <c r="A1150" t="s">
        <v>2005</v>
      </c>
      <c r="B1150" t="s">
        <v>268</v>
      </c>
      <c r="C1150" t="s">
        <v>69</v>
      </c>
      <c r="D1150" t="s">
        <v>2347</v>
      </c>
      <c r="E1150" t="s">
        <v>2348</v>
      </c>
      <c r="F1150" s="1" t="s">
        <v>2349</v>
      </c>
      <c r="G1150" t="s">
        <v>2350</v>
      </c>
      <c r="H1150" t="s">
        <v>544</v>
      </c>
      <c r="I1150">
        <v>53</v>
      </c>
      <c r="J1150">
        <v>9797.4599999999991</v>
      </c>
      <c r="K1150">
        <v>9797.4599999999991</v>
      </c>
      <c r="L1150">
        <v>9797.4599999999991</v>
      </c>
      <c r="M1150">
        <v>9797.4599999999991</v>
      </c>
      <c r="N1150" t="s">
        <v>45</v>
      </c>
      <c r="O1150">
        <v>1</v>
      </c>
      <c r="P1150" s="3">
        <f t="shared" si="36"/>
        <v>9797.4599999999991</v>
      </c>
      <c r="Q1150" s="3" t="str">
        <f t="shared" si="37"/>
        <v>8840.1-19797.46</v>
      </c>
      <c r="R1150" t="s">
        <v>2253</v>
      </c>
      <c r="S1150" t="s">
        <v>60</v>
      </c>
      <c r="T1150" t="s">
        <v>102</v>
      </c>
    </row>
    <row r="1151" spans="1:30" hidden="1">
      <c r="A1151" t="s">
        <v>2005</v>
      </c>
      <c r="B1151" t="s">
        <v>268</v>
      </c>
      <c r="C1151" t="s">
        <v>69</v>
      </c>
      <c r="D1151" t="s">
        <v>2351</v>
      </c>
      <c r="E1151" t="s">
        <v>2352</v>
      </c>
      <c r="F1151" s="1" t="s">
        <v>2353</v>
      </c>
      <c r="G1151" t="s">
        <v>2354</v>
      </c>
      <c r="H1151" t="s">
        <v>544</v>
      </c>
      <c r="I1151">
        <v>53</v>
      </c>
      <c r="J1151">
        <v>12000</v>
      </c>
      <c r="K1151">
        <v>12000</v>
      </c>
      <c r="L1151">
        <v>12000</v>
      </c>
      <c r="M1151">
        <v>12000</v>
      </c>
      <c r="N1151" t="s">
        <v>45</v>
      </c>
      <c r="O1151">
        <v>1</v>
      </c>
      <c r="P1151" s="3">
        <f t="shared" si="36"/>
        <v>12000</v>
      </c>
      <c r="Q1151" s="3" t="str">
        <f t="shared" si="37"/>
        <v>156912000</v>
      </c>
      <c r="R1151" t="s">
        <v>2115</v>
      </c>
      <c r="S1151" t="s">
        <v>233</v>
      </c>
    </row>
    <row r="1152" spans="1:30" hidden="1">
      <c r="A1152" t="s">
        <v>2005</v>
      </c>
      <c r="B1152" t="s">
        <v>268</v>
      </c>
      <c r="C1152" t="s">
        <v>69</v>
      </c>
      <c r="D1152" t="s">
        <v>2355</v>
      </c>
      <c r="E1152" t="s">
        <v>2356</v>
      </c>
      <c r="F1152" s="1" t="s">
        <v>2357</v>
      </c>
      <c r="G1152" t="s">
        <v>2358</v>
      </c>
      <c r="H1152" t="s">
        <v>544</v>
      </c>
      <c r="I1152">
        <v>53</v>
      </c>
      <c r="J1152">
        <v>37931.24</v>
      </c>
      <c r="K1152">
        <v>37931.24</v>
      </c>
      <c r="L1152">
        <v>37931.24</v>
      </c>
      <c r="M1152">
        <v>37931.24</v>
      </c>
      <c r="N1152" t="s">
        <v>45</v>
      </c>
      <c r="O1152">
        <v>1</v>
      </c>
      <c r="P1152" s="3">
        <f t="shared" si="36"/>
        <v>37931.24</v>
      </c>
      <c r="Q1152" s="3" t="str">
        <f t="shared" si="37"/>
        <v>400033837931.24</v>
      </c>
      <c r="R1152" t="s">
        <v>2167</v>
      </c>
      <c r="S1152" t="s">
        <v>233</v>
      </c>
      <c r="T1152" t="s">
        <v>102</v>
      </c>
    </row>
    <row r="1153" spans="1:30" hidden="1">
      <c r="A1153" t="s">
        <v>2005</v>
      </c>
      <c r="B1153" t="s">
        <v>374</v>
      </c>
      <c r="C1153" t="s">
        <v>69</v>
      </c>
      <c r="D1153" t="s">
        <v>2359</v>
      </c>
      <c r="E1153" t="s">
        <v>2360</v>
      </c>
      <c r="F1153" s="1" t="s">
        <v>2361</v>
      </c>
      <c r="G1153" t="s">
        <v>2362</v>
      </c>
      <c r="H1153" t="s">
        <v>544</v>
      </c>
      <c r="I1153">
        <v>53</v>
      </c>
      <c r="J1153">
        <v>30486</v>
      </c>
      <c r="K1153">
        <v>30486</v>
      </c>
      <c r="L1153">
        <v>30486</v>
      </c>
      <c r="M1153">
        <v>30486</v>
      </c>
      <c r="N1153" t="s">
        <v>45</v>
      </c>
      <c r="O1153">
        <v>1</v>
      </c>
      <c r="P1153" s="3">
        <f t="shared" si="36"/>
        <v>30486</v>
      </c>
      <c r="Q1153" s="3" t="str">
        <f t="shared" si="37"/>
        <v>16230486</v>
      </c>
      <c r="R1153" t="s">
        <v>1191</v>
      </c>
      <c r="S1153" t="s">
        <v>60</v>
      </c>
      <c r="T1153" t="s">
        <v>102</v>
      </c>
    </row>
    <row r="1154" spans="1:30" hidden="1">
      <c r="A1154" t="s">
        <v>2005</v>
      </c>
      <c r="B1154" t="s">
        <v>374</v>
      </c>
      <c r="C1154" t="s">
        <v>69</v>
      </c>
      <c r="D1154" t="s">
        <v>2363</v>
      </c>
      <c r="E1154" t="s">
        <v>2286</v>
      </c>
      <c r="F1154" s="1" t="s">
        <v>309</v>
      </c>
      <c r="G1154" t="s">
        <v>2364</v>
      </c>
      <c r="H1154" t="s">
        <v>544</v>
      </c>
      <c r="I1154">
        <v>53</v>
      </c>
      <c r="J1154">
        <v>45000</v>
      </c>
      <c r="K1154">
        <v>45000</v>
      </c>
      <c r="L1154">
        <v>45000</v>
      </c>
      <c r="M1154">
        <v>45000</v>
      </c>
      <c r="N1154" t="s">
        <v>45</v>
      </c>
      <c r="O1154">
        <v>1</v>
      </c>
      <c r="P1154" s="3">
        <f t="shared" si="36"/>
        <v>45000</v>
      </c>
      <c r="Q1154" s="3" t="str">
        <f t="shared" si="37"/>
        <v>208A05116145000</v>
      </c>
      <c r="R1154" t="s">
        <v>2288</v>
      </c>
      <c r="S1154" t="s">
        <v>60</v>
      </c>
      <c r="T1154" t="s">
        <v>102</v>
      </c>
      <c r="AA1154" t="s">
        <v>2289</v>
      </c>
    </row>
    <row r="1155" spans="1:30" hidden="1">
      <c r="A1155" t="s">
        <v>2005</v>
      </c>
      <c r="B1155" t="s">
        <v>544</v>
      </c>
      <c r="C1155" t="s">
        <v>187</v>
      </c>
      <c r="D1155" t="s">
        <v>32</v>
      </c>
      <c r="E1155" t="s">
        <v>2317</v>
      </c>
      <c r="F1155" s="1" t="s">
        <v>2318</v>
      </c>
      <c r="G1155" t="s">
        <v>2365</v>
      </c>
      <c r="H1155" t="s">
        <v>544</v>
      </c>
      <c r="I1155">
        <v>53</v>
      </c>
      <c r="J1155">
        <v>563</v>
      </c>
      <c r="K1155">
        <v>563</v>
      </c>
      <c r="L1155">
        <v>563</v>
      </c>
      <c r="M1155">
        <v>563</v>
      </c>
      <c r="N1155" t="s">
        <v>45</v>
      </c>
      <c r="O1155">
        <v>1</v>
      </c>
      <c r="P1155" s="3">
        <f t="shared" si="36"/>
        <v>563</v>
      </c>
      <c r="Q1155" s="3" t="str">
        <f t="shared" si="37"/>
        <v>563</v>
      </c>
    </row>
    <row r="1156" spans="1:30">
      <c r="A1156" t="s">
        <v>2005</v>
      </c>
      <c r="B1156" t="s">
        <v>544</v>
      </c>
      <c r="C1156" t="s">
        <v>69</v>
      </c>
      <c r="D1156" t="s">
        <v>2366</v>
      </c>
      <c r="E1156" t="s">
        <v>2367</v>
      </c>
      <c r="F1156" s="1" t="s">
        <v>2368</v>
      </c>
      <c r="G1156" t="s">
        <v>2369</v>
      </c>
      <c r="H1156" t="s">
        <v>544</v>
      </c>
      <c r="I1156">
        <v>53</v>
      </c>
      <c r="J1156">
        <v>143213.60999999999</v>
      </c>
      <c r="K1156">
        <v>143213.60999999999</v>
      </c>
      <c r="L1156">
        <v>143213.60999999999</v>
      </c>
      <c r="M1156">
        <v>143213.60999999999</v>
      </c>
      <c r="N1156" t="s">
        <v>45</v>
      </c>
      <c r="O1156">
        <v>1</v>
      </c>
      <c r="P1156" s="3">
        <f t="shared" si="36"/>
        <v>143213.60999999999</v>
      </c>
      <c r="Q1156" s="3" t="str">
        <f t="shared" si="37"/>
        <v>87372143213.61</v>
      </c>
      <c r="R1156" t="s">
        <v>202</v>
      </c>
    </row>
    <row r="1157" spans="1:30" hidden="1">
      <c r="A1157" t="s">
        <v>2005</v>
      </c>
      <c r="B1157" t="s">
        <v>2370</v>
      </c>
      <c r="C1157" t="s">
        <v>69</v>
      </c>
      <c r="D1157" t="s">
        <v>2371</v>
      </c>
      <c r="E1157" t="s">
        <v>2372</v>
      </c>
      <c r="F1157" s="1" t="s">
        <v>2373</v>
      </c>
      <c r="G1157" t="s">
        <v>2374</v>
      </c>
      <c r="H1157" t="s">
        <v>1157</v>
      </c>
      <c r="I1157">
        <v>51</v>
      </c>
      <c r="J1157">
        <v>25269.24</v>
      </c>
      <c r="K1157">
        <v>25269.24</v>
      </c>
      <c r="L1157">
        <v>25269.24</v>
      </c>
      <c r="M1157">
        <v>25269.24</v>
      </c>
      <c r="N1157" t="s">
        <v>45</v>
      </c>
      <c r="O1157">
        <v>1</v>
      </c>
      <c r="P1157" s="3">
        <f t="shared" si="36"/>
        <v>25269.24</v>
      </c>
      <c r="Q1157" s="3" t="str">
        <f t="shared" si="37"/>
        <v>TEN25Q325269.24</v>
      </c>
      <c r="R1157" t="s">
        <v>318</v>
      </c>
      <c r="S1157" t="s">
        <v>60</v>
      </c>
      <c r="T1157" t="s">
        <v>102</v>
      </c>
    </row>
    <row r="1158" spans="1:30" hidden="1">
      <c r="A1158" t="s">
        <v>2005</v>
      </c>
      <c r="B1158" t="s">
        <v>555</v>
      </c>
      <c r="C1158" t="s">
        <v>69</v>
      </c>
      <c r="D1158" t="s">
        <v>2375</v>
      </c>
      <c r="E1158" t="s">
        <v>2376</v>
      </c>
      <c r="F1158" s="1" t="s">
        <v>2376</v>
      </c>
      <c r="G1158" t="s">
        <v>2377</v>
      </c>
      <c r="H1158" t="s">
        <v>555</v>
      </c>
      <c r="I1158">
        <v>50</v>
      </c>
      <c r="J1158">
        <v>15418.8</v>
      </c>
      <c r="K1158">
        <v>15418.8</v>
      </c>
      <c r="L1158">
        <v>15418.8</v>
      </c>
      <c r="M1158">
        <v>15418.8</v>
      </c>
      <c r="N1158" t="s">
        <v>45</v>
      </c>
      <c r="O1158">
        <v>1</v>
      </c>
      <c r="P1158" s="3">
        <f t="shared" si="36"/>
        <v>15418.8</v>
      </c>
      <c r="Q1158" s="3" t="str">
        <f t="shared" si="37"/>
        <v>00356715418.8</v>
      </c>
    </row>
    <row r="1159" spans="1:30" hidden="1">
      <c r="A1159" t="s">
        <v>2005</v>
      </c>
      <c r="B1159" t="s">
        <v>544</v>
      </c>
      <c r="C1159" t="s">
        <v>69</v>
      </c>
      <c r="D1159" t="s">
        <v>2378</v>
      </c>
      <c r="E1159" t="s">
        <v>2379</v>
      </c>
      <c r="F1159" s="1" t="s">
        <v>2380</v>
      </c>
      <c r="G1159" t="s">
        <v>2381</v>
      </c>
      <c r="H1159" t="s">
        <v>560</v>
      </c>
      <c r="I1159">
        <v>49</v>
      </c>
      <c r="J1159">
        <v>3577.5</v>
      </c>
      <c r="K1159">
        <v>3577.5</v>
      </c>
      <c r="L1159">
        <v>3577.5</v>
      </c>
      <c r="M1159">
        <v>3577.5</v>
      </c>
      <c r="N1159" t="s">
        <v>45</v>
      </c>
      <c r="O1159">
        <v>1</v>
      </c>
      <c r="P1159" s="3">
        <f t="shared" si="36"/>
        <v>3577.5</v>
      </c>
      <c r="Q1159" s="3" t="str">
        <f t="shared" si="37"/>
        <v>253577.5</v>
      </c>
      <c r="R1159" t="s">
        <v>2382</v>
      </c>
    </row>
    <row r="1160" spans="1:30" hidden="1">
      <c r="A1160" t="s">
        <v>2005</v>
      </c>
      <c r="B1160" t="s">
        <v>560</v>
      </c>
      <c r="C1160" t="s">
        <v>69</v>
      </c>
      <c r="D1160" t="s">
        <v>2383</v>
      </c>
      <c r="E1160" t="s">
        <v>2384</v>
      </c>
      <c r="F1160" s="1" t="s">
        <v>2385</v>
      </c>
      <c r="G1160" t="s">
        <v>32</v>
      </c>
      <c r="H1160" t="s">
        <v>560</v>
      </c>
      <c r="I1160">
        <v>49</v>
      </c>
      <c r="J1160">
        <v>2205</v>
      </c>
      <c r="K1160">
        <v>2205</v>
      </c>
      <c r="L1160">
        <v>2205</v>
      </c>
      <c r="M1160">
        <v>2205</v>
      </c>
      <c r="N1160" t="s">
        <v>45</v>
      </c>
      <c r="O1160">
        <v>1</v>
      </c>
      <c r="P1160" s="3">
        <f t="shared" si="36"/>
        <v>2205</v>
      </c>
      <c r="Q1160" s="3" t="str">
        <f t="shared" si="37"/>
        <v>WYPI251120CA022205</v>
      </c>
    </row>
    <row r="1161" spans="1:30" hidden="1">
      <c r="A1161" t="s">
        <v>2005</v>
      </c>
      <c r="B1161" t="s">
        <v>573</v>
      </c>
      <c r="C1161" t="s">
        <v>69</v>
      </c>
      <c r="D1161" t="s">
        <v>2386</v>
      </c>
      <c r="E1161" t="s">
        <v>2387</v>
      </c>
      <c r="F1161" s="1" t="s">
        <v>2388</v>
      </c>
      <c r="G1161" t="s">
        <v>2389</v>
      </c>
      <c r="H1161" t="s">
        <v>578</v>
      </c>
      <c r="I1161">
        <v>48</v>
      </c>
      <c r="J1161">
        <v>36000</v>
      </c>
      <c r="K1161">
        <v>36000</v>
      </c>
      <c r="L1161">
        <v>36000</v>
      </c>
      <c r="M1161">
        <v>36000</v>
      </c>
      <c r="N1161" t="s">
        <v>45</v>
      </c>
      <c r="O1161">
        <v>1</v>
      </c>
      <c r="P1161" s="3">
        <f t="shared" si="36"/>
        <v>36000</v>
      </c>
      <c r="Q1161" s="3" t="str">
        <f t="shared" si="37"/>
        <v>9656081536000</v>
      </c>
      <c r="R1161" t="s">
        <v>2115</v>
      </c>
      <c r="S1161" t="s">
        <v>233</v>
      </c>
      <c r="T1161" t="s">
        <v>102</v>
      </c>
    </row>
    <row r="1162" spans="1:30" hidden="1">
      <c r="A1162" t="s">
        <v>2005</v>
      </c>
      <c r="B1162" t="s">
        <v>573</v>
      </c>
      <c r="C1162" t="s">
        <v>69</v>
      </c>
      <c r="D1162" t="s">
        <v>2390</v>
      </c>
      <c r="E1162" t="s">
        <v>2391</v>
      </c>
      <c r="F1162" s="1" t="s">
        <v>2392</v>
      </c>
      <c r="G1162" t="s">
        <v>2393</v>
      </c>
      <c r="H1162" t="s">
        <v>578</v>
      </c>
      <c r="I1162">
        <v>48</v>
      </c>
      <c r="J1162">
        <v>44100</v>
      </c>
      <c r="K1162">
        <v>44100</v>
      </c>
      <c r="L1162">
        <v>44100</v>
      </c>
      <c r="M1162">
        <v>44100</v>
      </c>
      <c r="N1162" t="s">
        <v>45</v>
      </c>
      <c r="O1162">
        <v>1</v>
      </c>
      <c r="P1162" s="3">
        <f t="shared" si="36"/>
        <v>44100</v>
      </c>
      <c r="Q1162" s="3" t="str">
        <f t="shared" si="37"/>
        <v>20251027-04544100</v>
      </c>
      <c r="R1162" t="s">
        <v>2115</v>
      </c>
      <c r="S1162" t="s">
        <v>233</v>
      </c>
    </row>
    <row r="1163" spans="1:30" hidden="1">
      <c r="A1163" t="s">
        <v>2005</v>
      </c>
      <c r="B1163" t="s">
        <v>573</v>
      </c>
      <c r="C1163" t="s">
        <v>69</v>
      </c>
      <c r="D1163" t="s">
        <v>2394</v>
      </c>
      <c r="E1163" t="s">
        <v>2188</v>
      </c>
      <c r="F1163" s="1" t="s">
        <v>2189</v>
      </c>
      <c r="G1163" t="s">
        <v>2395</v>
      </c>
      <c r="H1163" t="s">
        <v>578</v>
      </c>
      <c r="I1163">
        <v>48</v>
      </c>
      <c r="J1163">
        <v>19821.150000000001</v>
      </c>
      <c r="K1163">
        <v>19821.150000000001</v>
      </c>
      <c r="L1163">
        <v>17000</v>
      </c>
      <c r="M1163">
        <v>17000</v>
      </c>
      <c r="N1163" t="s">
        <v>601</v>
      </c>
      <c r="O1163">
        <v>1.16595</v>
      </c>
      <c r="P1163" s="3">
        <f t="shared" si="36"/>
        <v>17000</v>
      </c>
      <c r="Q1163" s="3" t="str">
        <f t="shared" si="37"/>
        <v>250312617000</v>
      </c>
      <c r="R1163" t="s">
        <v>285</v>
      </c>
      <c r="T1163" t="s">
        <v>162</v>
      </c>
    </row>
    <row r="1164" spans="1:30" hidden="1">
      <c r="A1164" t="s">
        <v>2005</v>
      </c>
      <c r="B1164" t="s">
        <v>594</v>
      </c>
      <c r="C1164" t="s">
        <v>69</v>
      </c>
      <c r="D1164" t="s">
        <v>2396</v>
      </c>
      <c r="E1164" t="s">
        <v>2009</v>
      </c>
      <c r="F1164" s="1" t="s">
        <v>2010</v>
      </c>
      <c r="G1164" t="s">
        <v>2397</v>
      </c>
      <c r="H1164" t="s">
        <v>596</v>
      </c>
      <c r="I1164">
        <v>47</v>
      </c>
      <c r="J1164">
        <v>15949.29</v>
      </c>
      <c r="K1164">
        <v>15949.29</v>
      </c>
      <c r="L1164">
        <v>15949.29</v>
      </c>
      <c r="M1164">
        <v>15949.29</v>
      </c>
      <c r="N1164" t="s">
        <v>45</v>
      </c>
      <c r="O1164">
        <v>1</v>
      </c>
      <c r="P1164" s="3">
        <f t="shared" si="36"/>
        <v>15949.29</v>
      </c>
      <c r="Q1164" s="3" t="str">
        <f t="shared" si="37"/>
        <v>AG6WR8D15949.29</v>
      </c>
      <c r="R1164" t="s">
        <v>37</v>
      </c>
      <c r="S1164" t="s">
        <v>60</v>
      </c>
      <c r="T1164" t="s">
        <v>102</v>
      </c>
      <c r="AB1164" t="e">
        <v>#VALUE!</v>
      </c>
      <c r="AD1164" t="s">
        <v>2186</v>
      </c>
    </row>
    <row r="1165" spans="1:30" hidden="1">
      <c r="A1165" t="s">
        <v>2005</v>
      </c>
      <c r="B1165" t="s">
        <v>594</v>
      </c>
      <c r="C1165" t="s">
        <v>69</v>
      </c>
      <c r="D1165" t="s">
        <v>598</v>
      </c>
      <c r="E1165" t="s">
        <v>2230</v>
      </c>
      <c r="F1165" s="1" t="s">
        <v>599</v>
      </c>
      <c r="G1165" t="s">
        <v>2398</v>
      </c>
      <c r="H1165" t="s">
        <v>596</v>
      </c>
      <c r="I1165">
        <v>47</v>
      </c>
      <c r="J1165">
        <v>3024.02</v>
      </c>
      <c r="K1165">
        <v>3024.0182746800001</v>
      </c>
      <c r="L1165">
        <v>2598.5700000000002</v>
      </c>
      <c r="M1165">
        <v>2598.5700000000002</v>
      </c>
      <c r="N1165" t="s">
        <v>601</v>
      </c>
      <c r="O1165">
        <v>1.163724</v>
      </c>
      <c r="P1165" s="3">
        <f t="shared" si="36"/>
        <v>2598.5700000000002</v>
      </c>
      <c r="Q1165" s="3" t="str">
        <f t="shared" si="37"/>
        <v>IESI2743122598.57</v>
      </c>
      <c r="R1165" t="s">
        <v>37</v>
      </c>
      <c r="S1165" t="s">
        <v>60</v>
      </c>
      <c r="T1165" t="s">
        <v>102</v>
      </c>
    </row>
    <row r="1166" spans="1:30" hidden="1">
      <c r="A1166" t="s">
        <v>2005</v>
      </c>
      <c r="B1166" t="s">
        <v>280</v>
      </c>
      <c r="C1166" t="s">
        <v>69</v>
      </c>
      <c r="D1166" t="s">
        <v>2399</v>
      </c>
      <c r="E1166" t="s">
        <v>2400</v>
      </c>
      <c r="F1166" s="1" t="s">
        <v>2401</v>
      </c>
      <c r="G1166" t="s">
        <v>2402</v>
      </c>
      <c r="H1166" t="s">
        <v>606</v>
      </c>
      <c r="I1166">
        <v>46</v>
      </c>
      <c r="J1166">
        <v>100000</v>
      </c>
      <c r="K1166">
        <v>100000</v>
      </c>
      <c r="L1166">
        <v>100000</v>
      </c>
      <c r="M1166">
        <v>100000</v>
      </c>
      <c r="N1166" t="s">
        <v>45</v>
      </c>
      <c r="O1166">
        <v>1</v>
      </c>
      <c r="P1166" s="3">
        <f t="shared" si="36"/>
        <v>100000</v>
      </c>
      <c r="Q1166" s="3" t="str">
        <f t="shared" si="37"/>
        <v>1020100000</v>
      </c>
      <c r="R1166" t="s">
        <v>2403</v>
      </c>
      <c r="T1166" t="s">
        <v>2404</v>
      </c>
    </row>
    <row r="1167" spans="1:30" hidden="1">
      <c r="A1167" t="s">
        <v>2005</v>
      </c>
      <c r="B1167" t="s">
        <v>280</v>
      </c>
      <c r="C1167" t="s">
        <v>69</v>
      </c>
      <c r="D1167" t="s">
        <v>2405</v>
      </c>
      <c r="E1167" t="s">
        <v>2400</v>
      </c>
      <c r="F1167" s="1" t="s">
        <v>2401</v>
      </c>
      <c r="G1167" t="s">
        <v>2402</v>
      </c>
      <c r="H1167" t="s">
        <v>606</v>
      </c>
      <c r="I1167">
        <v>46</v>
      </c>
      <c r="J1167">
        <v>56250</v>
      </c>
      <c r="K1167">
        <v>56250</v>
      </c>
      <c r="L1167">
        <v>56250</v>
      </c>
      <c r="M1167">
        <v>56250</v>
      </c>
      <c r="N1167" t="s">
        <v>45</v>
      </c>
      <c r="O1167">
        <v>1</v>
      </c>
      <c r="P1167" s="3">
        <f t="shared" si="36"/>
        <v>56250</v>
      </c>
      <c r="Q1167" s="3" t="str">
        <f t="shared" si="37"/>
        <v>102156250</v>
      </c>
      <c r="R1167" t="s">
        <v>2403</v>
      </c>
      <c r="T1167" t="s">
        <v>2404</v>
      </c>
    </row>
    <row r="1168" spans="1:30" hidden="1">
      <c r="A1168" t="s">
        <v>2005</v>
      </c>
      <c r="B1168" t="s">
        <v>280</v>
      </c>
      <c r="C1168" t="s">
        <v>69</v>
      </c>
      <c r="D1168" t="s">
        <v>2406</v>
      </c>
      <c r="E1168" t="s">
        <v>2400</v>
      </c>
      <c r="F1168" s="1" t="s">
        <v>2401</v>
      </c>
      <c r="G1168" t="s">
        <v>2407</v>
      </c>
      <c r="H1168" t="s">
        <v>606</v>
      </c>
      <c r="I1168">
        <v>46</v>
      </c>
      <c r="J1168">
        <v>56250</v>
      </c>
      <c r="K1168">
        <v>56250</v>
      </c>
      <c r="L1168">
        <v>56250</v>
      </c>
      <c r="M1168">
        <v>56250</v>
      </c>
      <c r="N1168" t="s">
        <v>45</v>
      </c>
      <c r="O1168">
        <v>1</v>
      </c>
      <c r="P1168" s="3">
        <f t="shared" si="36"/>
        <v>56250</v>
      </c>
      <c r="Q1168" s="3" t="str">
        <f t="shared" si="37"/>
        <v>102256250</v>
      </c>
      <c r="R1168" t="s">
        <v>2403</v>
      </c>
      <c r="T1168" t="s">
        <v>2404</v>
      </c>
    </row>
    <row r="1169" spans="1:30" hidden="1">
      <c r="A1169" t="s">
        <v>2005</v>
      </c>
      <c r="B1169" t="s">
        <v>280</v>
      </c>
      <c r="C1169" t="s">
        <v>69</v>
      </c>
      <c r="D1169" t="s">
        <v>2408</v>
      </c>
      <c r="E1169" t="s">
        <v>2086</v>
      </c>
      <c r="F1169" s="1" t="s">
        <v>585</v>
      </c>
      <c r="G1169" t="s">
        <v>2409</v>
      </c>
      <c r="H1169" t="s">
        <v>606</v>
      </c>
      <c r="I1169">
        <v>46</v>
      </c>
      <c r="J1169">
        <v>17293.22</v>
      </c>
      <c r="K1169">
        <v>17293.22</v>
      </c>
      <c r="L1169">
        <v>17293.22</v>
      </c>
      <c r="M1169">
        <v>17293.22</v>
      </c>
      <c r="N1169" t="s">
        <v>45</v>
      </c>
      <c r="O1169">
        <v>1</v>
      </c>
      <c r="P1169" s="3">
        <f t="shared" si="36"/>
        <v>17293.22</v>
      </c>
      <c r="Q1169" s="3" t="str">
        <f t="shared" si="37"/>
        <v>98IV1527717293.22</v>
      </c>
      <c r="R1169" t="s">
        <v>139</v>
      </c>
      <c r="S1169" t="s">
        <v>60</v>
      </c>
      <c r="AB1169" t="e">
        <v>#VALUE!</v>
      </c>
      <c r="AD1169" t="s">
        <v>2408</v>
      </c>
    </row>
    <row r="1170" spans="1:30" hidden="1">
      <c r="A1170" t="s">
        <v>2005</v>
      </c>
      <c r="B1170" t="s">
        <v>280</v>
      </c>
      <c r="C1170" t="s">
        <v>69</v>
      </c>
      <c r="D1170" t="s">
        <v>2410</v>
      </c>
      <c r="E1170" t="s">
        <v>2411</v>
      </c>
      <c r="F1170" s="1" t="s">
        <v>2412</v>
      </c>
      <c r="G1170" t="s">
        <v>2413</v>
      </c>
      <c r="H1170" t="s">
        <v>606</v>
      </c>
      <c r="I1170">
        <v>46</v>
      </c>
      <c r="J1170">
        <v>12323.84</v>
      </c>
      <c r="K1170">
        <v>12323.84</v>
      </c>
      <c r="L1170">
        <v>12323.84</v>
      </c>
      <c r="M1170">
        <v>12323.84</v>
      </c>
      <c r="N1170" t="s">
        <v>45</v>
      </c>
      <c r="O1170">
        <v>1</v>
      </c>
      <c r="P1170" s="3">
        <f t="shared" si="36"/>
        <v>12323.84</v>
      </c>
      <c r="Q1170" s="3" t="str">
        <f t="shared" si="37"/>
        <v>INV10579554512323.84</v>
      </c>
      <c r="R1170" t="s">
        <v>37</v>
      </c>
      <c r="S1170" t="s">
        <v>60</v>
      </c>
      <c r="T1170" t="s">
        <v>102</v>
      </c>
    </row>
    <row r="1171" spans="1:30" hidden="1">
      <c r="A1171" t="s">
        <v>2005</v>
      </c>
      <c r="B1171" t="s">
        <v>280</v>
      </c>
      <c r="C1171" t="s">
        <v>69</v>
      </c>
      <c r="D1171" t="s">
        <v>2414</v>
      </c>
      <c r="E1171" t="s">
        <v>2086</v>
      </c>
      <c r="F1171" s="1" t="s">
        <v>585</v>
      </c>
      <c r="G1171" t="s">
        <v>2415</v>
      </c>
      <c r="H1171" t="s">
        <v>606</v>
      </c>
      <c r="I1171">
        <v>46</v>
      </c>
      <c r="J1171">
        <v>4942.25</v>
      </c>
      <c r="K1171">
        <v>4942.25</v>
      </c>
      <c r="L1171">
        <v>4942.25</v>
      </c>
      <c r="M1171">
        <v>4942.25</v>
      </c>
      <c r="N1171" t="s">
        <v>45</v>
      </c>
      <c r="O1171">
        <v>1</v>
      </c>
      <c r="P1171" s="3">
        <f t="shared" si="36"/>
        <v>4942.25</v>
      </c>
      <c r="Q1171" s="3" t="str">
        <f t="shared" si="37"/>
        <v>195616038 014942.25</v>
      </c>
      <c r="R1171" t="s">
        <v>139</v>
      </c>
      <c r="S1171" t="s">
        <v>60</v>
      </c>
      <c r="AB1171" t="e">
        <v>#VALUE!</v>
      </c>
      <c r="AD1171" t="s">
        <v>2414</v>
      </c>
    </row>
    <row r="1172" spans="1:30" hidden="1">
      <c r="A1172" t="s">
        <v>2005</v>
      </c>
      <c r="B1172" t="s">
        <v>390</v>
      </c>
      <c r="C1172" t="s">
        <v>69</v>
      </c>
      <c r="D1172" t="s">
        <v>2416</v>
      </c>
      <c r="E1172" t="s">
        <v>2417</v>
      </c>
      <c r="F1172" s="1" t="s">
        <v>2418</v>
      </c>
      <c r="G1172" t="s">
        <v>2419</v>
      </c>
      <c r="H1172" t="s">
        <v>606</v>
      </c>
      <c r="I1172">
        <v>46</v>
      </c>
      <c r="J1172">
        <v>2993.28</v>
      </c>
      <c r="K1172">
        <v>2993.28</v>
      </c>
      <c r="L1172">
        <v>2993.28</v>
      </c>
      <c r="M1172">
        <v>2993.28</v>
      </c>
      <c r="N1172" t="s">
        <v>45</v>
      </c>
      <c r="O1172">
        <v>1</v>
      </c>
      <c r="P1172" s="3">
        <f t="shared" si="36"/>
        <v>2993.28</v>
      </c>
      <c r="Q1172" s="3" t="str">
        <f t="shared" si="37"/>
        <v>34092993.28</v>
      </c>
    </row>
    <row r="1173" spans="1:30" hidden="1">
      <c r="A1173" t="s">
        <v>2005</v>
      </c>
      <c r="B1173" t="s">
        <v>606</v>
      </c>
      <c r="C1173" t="s">
        <v>69</v>
      </c>
      <c r="D1173" t="s">
        <v>2420</v>
      </c>
      <c r="E1173" t="s">
        <v>2421</v>
      </c>
      <c r="F1173" s="1" t="s">
        <v>2421</v>
      </c>
      <c r="G1173" t="s">
        <v>2422</v>
      </c>
      <c r="H1173" t="s">
        <v>606</v>
      </c>
      <c r="I1173">
        <v>46</v>
      </c>
      <c r="J1173">
        <v>5218</v>
      </c>
      <c r="K1173">
        <v>5217.9975000000004</v>
      </c>
      <c r="L1173">
        <v>4500</v>
      </c>
      <c r="M1173">
        <v>4500</v>
      </c>
      <c r="N1173" t="s">
        <v>601</v>
      </c>
      <c r="O1173">
        <v>1.1595549999999999</v>
      </c>
      <c r="P1173" s="3">
        <f t="shared" si="36"/>
        <v>4500</v>
      </c>
      <c r="Q1173" s="3" t="str">
        <f t="shared" si="37"/>
        <v>684500</v>
      </c>
      <c r="R1173" t="s">
        <v>1296</v>
      </c>
      <c r="S1173" t="s">
        <v>60</v>
      </c>
      <c r="T1173" t="s">
        <v>102</v>
      </c>
    </row>
    <row r="1174" spans="1:30" hidden="1">
      <c r="A1174" t="s">
        <v>2005</v>
      </c>
      <c r="B1174" t="s">
        <v>293</v>
      </c>
      <c r="C1174" t="s">
        <v>69</v>
      </c>
      <c r="D1174" t="s">
        <v>2423</v>
      </c>
      <c r="E1174" t="s">
        <v>2086</v>
      </c>
      <c r="F1174" s="1" t="s">
        <v>585</v>
      </c>
      <c r="G1174" t="s">
        <v>2424</v>
      </c>
      <c r="H1174" t="s">
        <v>640</v>
      </c>
      <c r="I1174">
        <v>45</v>
      </c>
      <c r="J1174">
        <v>1089.81</v>
      </c>
      <c r="K1174">
        <v>1089.81</v>
      </c>
      <c r="L1174">
        <v>1089.81</v>
      </c>
      <c r="M1174">
        <v>1089.81</v>
      </c>
      <c r="N1174" t="s">
        <v>45</v>
      </c>
      <c r="O1174">
        <v>1</v>
      </c>
      <c r="P1174" s="3">
        <f t="shared" si="36"/>
        <v>1089.81</v>
      </c>
      <c r="Q1174" s="3" t="str">
        <f t="shared" si="37"/>
        <v>98IV152861089.81</v>
      </c>
      <c r="R1174" t="s">
        <v>139</v>
      </c>
      <c r="S1174" t="s">
        <v>60</v>
      </c>
      <c r="AB1174" t="e">
        <v>#VALUE!</v>
      </c>
      <c r="AD1174" t="s">
        <v>2423</v>
      </c>
    </row>
    <row r="1175" spans="1:30" hidden="1">
      <c r="A1175" t="s">
        <v>2005</v>
      </c>
      <c r="B1175" t="s">
        <v>293</v>
      </c>
      <c r="C1175" t="s">
        <v>69</v>
      </c>
      <c r="D1175" t="s">
        <v>2425</v>
      </c>
      <c r="E1175" t="s">
        <v>2426</v>
      </c>
      <c r="F1175" s="1" t="s">
        <v>2427</v>
      </c>
      <c r="G1175" t="s">
        <v>2428</v>
      </c>
      <c r="H1175" t="s">
        <v>640</v>
      </c>
      <c r="I1175">
        <v>45</v>
      </c>
      <c r="J1175">
        <v>50000</v>
      </c>
      <c r="K1175">
        <v>50000</v>
      </c>
      <c r="L1175">
        <v>50000</v>
      </c>
      <c r="M1175">
        <v>50000</v>
      </c>
      <c r="N1175" t="s">
        <v>45</v>
      </c>
      <c r="O1175">
        <v>1</v>
      </c>
      <c r="P1175" s="3">
        <f t="shared" si="36"/>
        <v>50000</v>
      </c>
      <c r="Q1175" s="3" t="str">
        <f t="shared" si="37"/>
        <v>TT-00250000</v>
      </c>
      <c r="R1175" t="s">
        <v>395</v>
      </c>
      <c r="S1175" t="s">
        <v>2429</v>
      </c>
      <c r="T1175" t="s">
        <v>162</v>
      </c>
    </row>
    <row r="1176" spans="1:30" hidden="1">
      <c r="A1176" t="s">
        <v>2005</v>
      </c>
      <c r="B1176" t="s">
        <v>301</v>
      </c>
      <c r="C1176" t="s">
        <v>69</v>
      </c>
      <c r="D1176" t="s">
        <v>2430</v>
      </c>
      <c r="E1176" t="s">
        <v>2086</v>
      </c>
      <c r="F1176" s="1" t="s">
        <v>585</v>
      </c>
      <c r="G1176" t="s">
        <v>2409</v>
      </c>
      <c r="H1176" t="s">
        <v>664</v>
      </c>
      <c r="I1176">
        <v>44</v>
      </c>
      <c r="J1176">
        <v>11274.21</v>
      </c>
      <c r="K1176">
        <v>11274.21</v>
      </c>
      <c r="L1176">
        <v>11274.21</v>
      </c>
      <c r="M1176">
        <v>11274.21</v>
      </c>
      <c r="N1176" t="s">
        <v>45</v>
      </c>
      <c r="O1176">
        <v>1</v>
      </c>
      <c r="P1176" s="3">
        <f t="shared" si="36"/>
        <v>11274.21</v>
      </c>
      <c r="Q1176" s="3" t="str">
        <f t="shared" si="37"/>
        <v>98IV1530111274.21</v>
      </c>
      <c r="R1176" t="s">
        <v>139</v>
      </c>
      <c r="S1176" t="s">
        <v>60</v>
      </c>
      <c r="AB1176" t="e">
        <v>#VALUE!</v>
      </c>
      <c r="AD1176" t="s">
        <v>2430</v>
      </c>
    </row>
    <row r="1177" spans="1:30" hidden="1">
      <c r="A1177" t="s">
        <v>2005</v>
      </c>
      <c r="B1177" t="s">
        <v>301</v>
      </c>
      <c r="C1177" t="s">
        <v>69</v>
      </c>
      <c r="D1177" t="s">
        <v>2431</v>
      </c>
      <c r="E1177" t="s">
        <v>2432</v>
      </c>
      <c r="F1177" s="1" t="s">
        <v>2433</v>
      </c>
      <c r="G1177" t="s">
        <v>2434</v>
      </c>
      <c r="H1177" t="s">
        <v>664</v>
      </c>
      <c r="I1177">
        <v>44</v>
      </c>
      <c r="J1177">
        <v>12383.32</v>
      </c>
      <c r="K1177">
        <v>12383.32</v>
      </c>
      <c r="L1177">
        <v>12383.32</v>
      </c>
      <c r="M1177">
        <v>12383.32</v>
      </c>
      <c r="N1177" t="s">
        <v>45</v>
      </c>
      <c r="O1177">
        <v>1</v>
      </c>
      <c r="P1177" s="3">
        <f t="shared" si="36"/>
        <v>12383.32</v>
      </c>
      <c r="Q1177" s="3" t="str">
        <f t="shared" si="37"/>
        <v>HK2510-16212383.32</v>
      </c>
      <c r="R1177" t="s">
        <v>2435</v>
      </c>
      <c r="S1177" t="s">
        <v>60</v>
      </c>
      <c r="T1177" t="s">
        <v>102</v>
      </c>
    </row>
    <row r="1178" spans="1:30" hidden="1">
      <c r="A1178" t="s">
        <v>2005</v>
      </c>
      <c r="B1178" t="s">
        <v>301</v>
      </c>
      <c r="C1178" t="s">
        <v>69</v>
      </c>
      <c r="D1178" t="s">
        <v>2436</v>
      </c>
      <c r="E1178" t="s">
        <v>2437</v>
      </c>
      <c r="F1178" s="1" t="s">
        <v>2438</v>
      </c>
      <c r="G1178" t="s">
        <v>2439</v>
      </c>
      <c r="H1178" t="s">
        <v>664</v>
      </c>
      <c r="I1178">
        <v>44</v>
      </c>
      <c r="J1178">
        <v>22000</v>
      </c>
      <c r="K1178">
        <v>22000</v>
      </c>
      <c r="L1178">
        <v>22000</v>
      </c>
      <c r="M1178">
        <v>22000</v>
      </c>
      <c r="N1178" t="s">
        <v>45</v>
      </c>
      <c r="O1178">
        <v>1</v>
      </c>
      <c r="P1178" s="3">
        <f t="shared" si="36"/>
        <v>22000</v>
      </c>
      <c r="Q1178" s="3" t="str">
        <f t="shared" si="37"/>
        <v>VL/25-26/19122000</v>
      </c>
      <c r="R1178" t="s">
        <v>2323</v>
      </c>
      <c r="S1178" t="s">
        <v>60</v>
      </c>
      <c r="T1178" t="s">
        <v>102</v>
      </c>
    </row>
    <row r="1179" spans="1:30" hidden="1">
      <c r="A1179" t="s">
        <v>2005</v>
      </c>
      <c r="B1179" t="s">
        <v>301</v>
      </c>
      <c r="C1179" t="s">
        <v>69</v>
      </c>
      <c r="D1179" t="s">
        <v>2440</v>
      </c>
      <c r="E1179" t="s">
        <v>2086</v>
      </c>
      <c r="F1179" s="1" t="s">
        <v>585</v>
      </c>
      <c r="G1179" t="s">
        <v>2441</v>
      </c>
      <c r="H1179" t="s">
        <v>664</v>
      </c>
      <c r="I1179">
        <v>44</v>
      </c>
      <c r="J1179">
        <v>7487.04</v>
      </c>
      <c r="K1179">
        <v>7487.04</v>
      </c>
      <c r="L1179">
        <v>7487.04</v>
      </c>
      <c r="M1179">
        <v>7487.04</v>
      </c>
      <c r="N1179" t="s">
        <v>45</v>
      </c>
      <c r="O1179">
        <v>1</v>
      </c>
      <c r="P1179" s="3">
        <f t="shared" si="36"/>
        <v>7487.04</v>
      </c>
      <c r="Q1179" s="3" t="str">
        <f t="shared" si="37"/>
        <v>48IV073317487.04</v>
      </c>
      <c r="R1179" t="s">
        <v>139</v>
      </c>
      <c r="S1179" t="s">
        <v>60</v>
      </c>
      <c r="AB1179" t="e">
        <v>#VALUE!</v>
      </c>
      <c r="AD1179" t="s">
        <v>2440</v>
      </c>
    </row>
    <row r="1180" spans="1:30" hidden="1">
      <c r="A1180" t="s">
        <v>2005</v>
      </c>
      <c r="B1180" t="s">
        <v>301</v>
      </c>
      <c r="C1180" t="s">
        <v>69</v>
      </c>
      <c r="D1180" t="s">
        <v>2442</v>
      </c>
      <c r="E1180" t="s">
        <v>2230</v>
      </c>
      <c r="F1180" s="1" t="s">
        <v>2231</v>
      </c>
      <c r="G1180" t="s">
        <v>2443</v>
      </c>
      <c r="H1180" t="s">
        <v>664</v>
      </c>
      <c r="I1180">
        <v>44</v>
      </c>
      <c r="J1180">
        <v>2987.09</v>
      </c>
      <c r="K1180">
        <v>2987.0890428600001</v>
      </c>
      <c r="L1180">
        <v>2575.17</v>
      </c>
      <c r="M1180">
        <v>2575.17</v>
      </c>
      <c r="N1180" t="s">
        <v>601</v>
      </c>
      <c r="O1180">
        <v>1.159958</v>
      </c>
      <c r="P1180" s="3">
        <f t="shared" si="36"/>
        <v>2575.17</v>
      </c>
      <c r="Q1180" s="3" t="str">
        <f t="shared" si="37"/>
        <v>IESI2757962575.17</v>
      </c>
      <c r="R1180" t="s">
        <v>37</v>
      </c>
      <c r="S1180" t="s">
        <v>60</v>
      </c>
      <c r="T1180" t="s">
        <v>102</v>
      </c>
    </row>
    <row r="1181" spans="1:30" hidden="1">
      <c r="A1181" t="s">
        <v>2005</v>
      </c>
      <c r="B1181" t="s">
        <v>301</v>
      </c>
      <c r="C1181" t="s">
        <v>69</v>
      </c>
      <c r="D1181" t="s">
        <v>2444</v>
      </c>
      <c r="E1181" t="s">
        <v>2445</v>
      </c>
      <c r="F1181" s="1" t="s">
        <v>2446</v>
      </c>
      <c r="G1181" t="s">
        <v>2447</v>
      </c>
      <c r="H1181" t="s">
        <v>664</v>
      </c>
      <c r="I1181">
        <v>44</v>
      </c>
      <c r="J1181">
        <v>154.4</v>
      </c>
      <c r="K1181">
        <v>154.4</v>
      </c>
      <c r="L1181">
        <v>154.4</v>
      </c>
      <c r="M1181">
        <v>154.4</v>
      </c>
      <c r="N1181" t="s">
        <v>45</v>
      </c>
      <c r="O1181">
        <v>1</v>
      </c>
      <c r="P1181" s="3">
        <f t="shared" si="36"/>
        <v>154.4</v>
      </c>
      <c r="Q1181" s="3" t="str">
        <f t="shared" si="37"/>
        <v>G4233425154.4</v>
      </c>
      <c r="R1181" t="s">
        <v>992</v>
      </c>
      <c r="S1181" t="s">
        <v>60</v>
      </c>
    </row>
    <row r="1182" spans="1:30" hidden="1">
      <c r="A1182" t="s">
        <v>2005</v>
      </c>
      <c r="B1182" t="s">
        <v>301</v>
      </c>
      <c r="C1182" t="s">
        <v>69</v>
      </c>
      <c r="D1182" t="s">
        <v>2448</v>
      </c>
      <c r="E1182" t="s">
        <v>2449</v>
      </c>
      <c r="F1182" s="1" t="s">
        <v>2450</v>
      </c>
      <c r="G1182" t="s">
        <v>2451</v>
      </c>
      <c r="H1182" t="s">
        <v>664</v>
      </c>
      <c r="I1182">
        <v>44</v>
      </c>
      <c r="J1182">
        <v>22880</v>
      </c>
      <c r="K1182">
        <v>1040</v>
      </c>
      <c r="L1182">
        <v>22880</v>
      </c>
      <c r="M1182">
        <v>1040</v>
      </c>
      <c r="N1182" t="s">
        <v>45</v>
      </c>
      <c r="O1182">
        <v>1</v>
      </c>
      <c r="P1182" s="3">
        <f t="shared" si="36"/>
        <v>1040</v>
      </c>
      <c r="Q1182" s="3" t="str">
        <f t="shared" si="37"/>
        <v>INV047771040</v>
      </c>
      <c r="R1182" t="s">
        <v>1686</v>
      </c>
      <c r="S1182" t="s">
        <v>60</v>
      </c>
      <c r="T1182" t="s">
        <v>102</v>
      </c>
    </row>
    <row r="1183" spans="1:30" hidden="1">
      <c r="A1183" t="s">
        <v>2005</v>
      </c>
      <c r="B1183" t="s">
        <v>301</v>
      </c>
      <c r="C1183" t="s">
        <v>69</v>
      </c>
      <c r="D1183" t="s">
        <v>2452</v>
      </c>
      <c r="E1183" t="s">
        <v>2112</v>
      </c>
      <c r="F1183" s="1" t="s">
        <v>2113</v>
      </c>
      <c r="G1183" t="s">
        <v>2453</v>
      </c>
      <c r="H1183" t="s">
        <v>664</v>
      </c>
      <c r="I1183">
        <v>44</v>
      </c>
      <c r="J1183">
        <v>10000</v>
      </c>
      <c r="K1183">
        <v>10000</v>
      </c>
      <c r="L1183">
        <v>10000</v>
      </c>
      <c r="M1183">
        <v>10000</v>
      </c>
      <c r="N1183" t="s">
        <v>45</v>
      </c>
      <c r="O1183">
        <v>1</v>
      </c>
      <c r="P1183" s="3">
        <f t="shared" si="36"/>
        <v>10000</v>
      </c>
      <c r="Q1183" s="3" t="str">
        <f t="shared" si="37"/>
        <v>15485810000</v>
      </c>
      <c r="R1183" t="s">
        <v>2115</v>
      </c>
      <c r="S1183" t="s">
        <v>233</v>
      </c>
      <c r="T1183" t="s">
        <v>102</v>
      </c>
    </row>
    <row r="1184" spans="1:30" hidden="1">
      <c r="A1184" t="s">
        <v>2005</v>
      </c>
      <c r="B1184" t="s">
        <v>301</v>
      </c>
      <c r="C1184" t="s">
        <v>69</v>
      </c>
      <c r="D1184" t="s">
        <v>2454</v>
      </c>
      <c r="E1184" t="s">
        <v>2173</v>
      </c>
      <c r="F1184" s="1" t="s">
        <v>2174</v>
      </c>
      <c r="G1184" t="s">
        <v>2175</v>
      </c>
      <c r="H1184" t="s">
        <v>664</v>
      </c>
      <c r="I1184">
        <v>44</v>
      </c>
      <c r="J1184">
        <v>2737.5</v>
      </c>
      <c r="K1184">
        <v>2737.5</v>
      </c>
      <c r="L1184">
        <v>2737.5</v>
      </c>
      <c r="M1184">
        <v>2737.5</v>
      </c>
      <c r="N1184" t="s">
        <v>45</v>
      </c>
      <c r="O1184">
        <v>1</v>
      </c>
      <c r="P1184" s="3">
        <f t="shared" si="36"/>
        <v>2737.5</v>
      </c>
      <c r="Q1184" s="3" t="str">
        <f t="shared" si="37"/>
        <v>2510342737.5</v>
      </c>
      <c r="R1184" t="s">
        <v>2167</v>
      </c>
      <c r="S1184" t="s">
        <v>233</v>
      </c>
      <c r="T1184" t="s">
        <v>102</v>
      </c>
    </row>
    <row r="1185" spans="1:28" hidden="1">
      <c r="A1185" t="s">
        <v>2005</v>
      </c>
      <c r="B1185" t="s">
        <v>301</v>
      </c>
      <c r="C1185" t="s">
        <v>69</v>
      </c>
      <c r="D1185" t="s">
        <v>2455</v>
      </c>
      <c r="E1185" t="s">
        <v>2132</v>
      </c>
      <c r="F1185" s="1" t="s">
        <v>2133</v>
      </c>
      <c r="G1185" t="s">
        <v>2456</v>
      </c>
      <c r="H1185" t="s">
        <v>664</v>
      </c>
      <c r="I1185">
        <v>44</v>
      </c>
      <c r="J1185">
        <v>11815</v>
      </c>
      <c r="K1185">
        <v>11815</v>
      </c>
      <c r="L1185">
        <v>11815</v>
      </c>
      <c r="M1185">
        <v>11815</v>
      </c>
      <c r="N1185" t="s">
        <v>45</v>
      </c>
      <c r="O1185">
        <v>1</v>
      </c>
      <c r="P1185" s="3">
        <f t="shared" si="36"/>
        <v>11815</v>
      </c>
      <c r="Q1185" s="3" t="str">
        <f t="shared" si="37"/>
        <v>2025-353711815</v>
      </c>
      <c r="R1185" t="s">
        <v>2135</v>
      </c>
      <c r="S1185" t="s">
        <v>60</v>
      </c>
      <c r="T1185" t="s">
        <v>102</v>
      </c>
    </row>
    <row r="1186" spans="1:28" hidden="1">
      <c r="A1186" t="s">
        <v>2005</v>
      </c>
      <c r="B1186" t="s">
        <v>301</v>
      </c>
      <c r="C1186" t="s">
        <v>69</v>
      </c>
      <c r="D1186" t="s">
        <v>2457</v>
      </c>
      <c r="E1186" t="s">
        <v>2132</v>
      </c>
      <c r="F1186" s="1" t="s">
        <v>2133</v>
      </c>
      <c r="G1186" t="s">
        <v>2456</v>
      </c>
      <c r="H1186" t="s">
        <v>664</v>
      </c>
      <c r="I1186">
        <v>44</v>
      </c>
      <c r="J1186">
        <v>5280</v>
      </c>
      <c r="K1186">
        <v>5280</v>
      </c>
      <c r="L1186">
        <v>5280</v>
      </c>
      <c r="M1186">
        <v>5280</v>
      </c>
      <c r="N1186" t="s">
        <v>45</v>
      </c>
      <c r="O1186">
        <v>1</v>
      </c>
      <c r="P1186" s="3">
        <f t="shared" si="36"/>
        <v>5280</v>
      </c>
      <c r="Q1186" s="3" t="str">
        <f t="shared" si="37"/>
        <v>2025-35385280</v>
      </c>
      <c r="R1186" t="s">
        <v>2135</v>
      </c>
      <c r="S1186" t="s">
        <v>60</v>
      </c>
      <c r="T1186" t="s">
        <v>102</v>
      </c>
    </row>
    <row r="1187" spans="1:28" hidden="1">
      <c r="A1187" t="s">
        <v>2005</v>
      </c>
      <c r="B1187" t="s">
        <v>301</v>
      </c>
      <c r="C1187" t="s">
        <v>69</v>
      </c>
      <c r="D1187" t="s">
        <v>2458</v>
      </c>
      <c r="E1187" t="s">
        <v>2132</v>
      </c>
      <c r="F1187" s="1" t="s">
        <v>2133</v>
      </c>
      <c r="G1187" t="s">
        <v>2459</v>
      </c>
      <c r="H1187" t="s">
        <v>664</v>
      </c>
      <c r="I1187">
        <v>44</v>
      </c>
      <c r="J1187">
        <v>4180</v>
      </c>
      <c r="K1187">
        <v>4180</v>
      </c>
      <c r="L1187">
        <v>4180</v>
      </c>
      <c r="M1187">
        <v>4180</v>
      </c>
      <c r="N1187" t="s">
        <v>45</v>
      </c>
      <c r="O1187">
        <v>1</v>
      </c>
      <c r="P1187" s="3">
        <f t="shared" si="36"/>
        <v>4180</v>
      </c>
      <c r="Q1187" s="3" t="str">
        <f t="shared" si="37"/>
        <v>2025-35394180</v>
      </c>
      <c r="R1187" t="s">
        <v>2135</v>
      </c>
      <c r="S1187" t="s">
        <v>60</v>
      </c>
      <c r="T1187" t="s">
        <v>102</v>
      </c>
    </row>
    <row r="1188" spans="1:28" hidden="1">
      <c r="A1188" t="s">
        <v>2005</v>
      </c>
      <c r="B1188" t="s">
        <v>301</v>
      </c>
      <c r="C1188" t="s">
        <v>69</v>
      </c>
      <c r="D1188" t="s">
        <v>2460</v>
      </c>
      <c r="E1188" t="s">
        <v>2132</v>
      </c>
      <c r="F1188" s="1" t="s">
        <v>2133</v>
      </c>
      <c r="G1188" t="s">
        <v>2456</v>
      </c>
      <c r="H1188" t="s">
        <v>664</v>
      </c>
      <c r="I1188">
        <v>44</v>
      </c>
      <c r="J1188">
        <v>4700</v>
      </c>
      <c r="K1188">
        <v>4700</v>
      </c>
      <c r="L1188">
        <v>4700</v>
      </c>
      <c r="M1188">
        <v>4700</v>
      </c>
      <c r="N1188" t="s">
        <v>45</v>
      </c>
      <c r="O1188">
        <v>1</v>
      </c>
      <c r="P1188" s="3">
        <f t="shared" si="36"/>
        <v>4700</v>
      </c>
      <c r="Q1188" s="3" t="str">
        <f t="shared" si="37"/>
        <v>2025-35404700</v>
      </c>
      <c r="R1188" t="s">
        <v>2135</v>
      </c>
      <c r="S1188" t="s">
        <v>60</v>
      </c>
      <c r="T1188" t="s">
        <v>102</v>
      </c>
    </row>
    <row r="1189" spans="1:28" hidden="1">
      <c r="A1189" t="s">
        <v>2005</v>
      </c>
      <c r="B1189" t="s">
        <v>301</v>
      </c>
      <c r="C1189" t="s">
        <v>69</v>
      </c>
      <c r="D1189" t="s">
        <v>2461</v>
      </c>
      <c r="E1189" t="s">
        <v>2132</v>
      </c>
      <c r="F1189" s="1" t="s">
        <v>2133</v>
      </c>
      <c r="G1189" t="s">
        <v>2456</v>
      </c>
      <c r="H1189" t="s">
        <v>664</v>
      </c>
      <c r="I1189">
        <v>44</v>
      </c>
      <c r="J1189">
        <v>6720</v>
      </c>
      <c r="K1189">
        <v>6720</v>
      </c>
      <c r="L1189">
        <v>6720</v>
      </c>
      <c r="M1189">
        <v>6720</v>
      </c>
      <c r="N1189" t="s">
        <v>45</v>
      </c>
      <c r="O1189">
        <v>1</v>
      </c>
      <c r="P1189" s="3">
        <f t="shared" si="36"/>
        <v>6720</v>
      </c>
      <c r="Q1189" s="3" t="str">
        <f t="shared" si="37"/>
        <v>2025-35416720</v>
      </c>
      <c r="R1189" t="s">
        <v>2135</v>
      </c>
      <c r="S1189" t="s">
        <v>60</v>
      </c>
      <c r="T1189" t="s">
        <v>102</v>
      </c>
    </row>
    <row r="1190" spans="1:28" hidden="1">
      <c r="A1190" t="s">
        <v>2005</v>
      </c>
      <c r="B1190" t="s">
        <v>301</v>
      </c>
      <c r="C1190" t="s">
        <v>69</v>
      </c>
      <c r="D1190" t="s">
        <v>2462</v>
      </c>
      <c r="E1190" t="s">
        <v>2132</v>
      </c>
      <c r="F1190" s="1" t="s">
        <v>2133</v>
      </c>
      <c r="G1190" t="s">
        <v>2456</v>
      </c>
      <c r="H1190" t="s">
        <v>664</v>
      </c>
      <c r="I1190">
        <v>44</v>
      </c>
      <c r="J1190">
        <v>8770</v>
      </c>
      <c r="K1190">
        <v>8770</v>
      </c>
      <c r="L1190">
        <v>8770</v>
      </c>
      <c r="M1190">
        <v>8770</v>
      </c>
      <c r="N1190" t="s">
        <v>45</v>
      </c>
      <c r="O1190">
        <v>1</v>
      </c>
      <c r="P1190" s="3">
        <f t="shared" si="36"/>
        <v>8770</v>
      </c>
      <c r="Q1190" s="3" t="str">
        <f t="shared" si="37"/>
        <v>2025-35428770</v>
      </c>
      <c r="R1190" t="s">
        <v>2135</v>
      </c>
      <c r="S1190" t="s">
        <v>60</v>
      </c>
      <c r="T1190" t="s">
        <v>102</v>
      </c>
    </row>
    <row r="1191" spans="1:28" hidden="1">
      <c r="A1191" t="s">
        <v>2005</v>
      </c>
      <c r="B1191" t="s">
        <v>301</v>
      </c>
      <c r="C1191" t="s">
        <v>69</v>
      </c>
      <c r="D1191" t="s">
        <v>2463</v>
      </c>
      <c r="E1191" t="s">
        <v>2132</v>
      </c>
      <c r="F1191" s="1" t="s">
        <v>2133</v>
      </c>
      <c r="G1191" t="s">
        <v>2456</v>
      </c>
      <c r="H1191" t="s">
        <v>664</v>
      </c>
      <c r="I1191">
        <v>44</v>
      </c>
      <c r="J1191">
        <v>800</v>
      </c>
      <c r="K1191">
        <v>800</v>
      </c>
      <c r="L1191">
        <v>800</v>
      </c>
      <c r="M1191">
        <v>800</v>
      </c>
      <c r="N1191" t="s">
        <v>45</v>
      </c>
      <c r="O1191">
        <v>1</v>
      </c>
      <c r="P1191" s="3">
        <f t="shared" si="36"/>
        <v>800</v>
      </c>
      <c r="Q1191" s="3" t="str">
        <f t="shared" si="37"/>
        <v>2025-3543800</v>
      </c>
      <c r="R1191" t="s">
        <v>2135</v>
      </c>
      <c r="S1191" t="s">
        <v>60</v>
      </c>
      <c r="T1191" t="s">
        <v>102</v>
      </c>
    </row>
    <row r="1192" spans="1:28" hidden="1">
      <c r="A1192" t="s">
        <v>2005</v>
      </c>
      <c r="B1192" t="s">
        <v>301</v>
      </c>
      <c r="C1192" t="s">
        <v>69</v>
      </c>
      <c r="D1192" t="s">
        <v>2464</v>
      </c>
      <c r="E1192" t="s">
        <v>2065</v>
      </c>
      <c r="F1192" s="1" t="s">
        <v>2066</v>
      </c>
      <c r="G1192" t="s">
        <v>2465</v>
      </c>
      <c r="H1192" t="s">
        <v>664</v>
      </c>
      <c r="I1192">
        <v>44</v>
      </c>
      <c r="J1192">
        <v>22000</v>
      </c>
      <c r="K1192">
        <v>22000</v>
      </c>
      <c r="L1192">
        <v>22000</v>
      </c>
      <c r="M1192">
        <v>22000</v>
      </c>
      <c r="N1192" t="s">
        <v>45</v>
      </c>
      <c r="O1192">
        <v>1</v>
      </c>
      <c r="P1192" s="3">
        <f t="shared" si="36"/>
        <v>22000</v>
      </c>
      <c r="Q1192" s="3" t="str">
        <f t="shared" si="37"/>
        <v>04569422000</v>
      </c>
      <c r="R1192" t="s">
        <v>395</v>
      </c>
    </row>
    <row r="1193" spans="1:28" hidden="1">
      <c r="A1193" t="s">
        <v>2005</v>
      </c>
      <c r="B1193" t="s">
        <v>301</v>
      </c>
      <c r="C1193" t="s">
        <v>69</v>
      </c>
      <c r="D1193" t="s">
        <v>2466</v>
      </c>
      <c r="E1193" t="s">
        <v>2129</v>
      </c>
      <c r="F1193" s="1" t="s">
        <v>2129</v>
      </c>
      <c r="G1193" t="s">
        <v>2467</v>
      </c>
      <c r="H1193" t="s">
        <v>664</v>
      </c>
      <c r="I1193">
        <v>44</v>
      </c>
      <c r="J1193">
        <v>787.5</v>
      </c>
      <c r="K1193">
        <v>787.5</v>
      </c>
      <c r="L1193">
        <v>787.5</v>
      </c>
      <c r="M1193">
        <v>787.5</v>
      </c>
      <c r="N1193" t="s">
        <v>45</v>
      </c>
      <c r="O1193">
        <v>1</v>
      </c>
      <c r="P1193" s="3">
        <f t="shared" si="36"/>
        <v>787.5</v>
      </c>
      <c r="Q1193" s="3" t="str">
        <f t="shared" si="37"/>
        <v>363932787.5</v>
      </c>
      <c r="R1193" t="s">
        <v>37</v>
      </c>
      <c r="S1193" t="s">
        <v>60</v>
      </c>
      <c r="T1193" t="s">
        <v>102</v>
      </c>
    </row>
    <row r="1194" spans="1:28" hidden="1">
      <c r="A1194" t="s">
        <v>2005</v>
      </c>
      <c r="B1194" t="s">
        <v>301</v>
      </c>
      <c r="C1194" t="s">
        <v>69</v>
      </c>
      <c r="D1194" t="s">
        <v>2468</v>
      </c>
      <c r="E1194" t="s">
        <v>2132</v>
      </c>
      <c r="F1194" s="1" t="s">
        <v>2133</v>
      </c>
      <c r="G1194" t="s">
        <v>2469</v>
      </c>
      <c r="H1194" t="s">
        <v>664</v>
      </c>
      <c r="I1194">
        <v>44</v>
      </c>
      <c r="J1194">
        <v>1795</v>
      </c>
      <c r="K1194">
        <v>1795</v>
      </c>
      <c r="L1194">
        <v>1795</v>
      </c>
      <c r="M1194">
        <v>1795</v>
      </c>
      <c r="N1194" t="s">
        <v>45</v>
      </c>
      <c r="O1194">
        <v>1</v>
      </c>
      <c r="P1194" s="3">
        <f t="shared" si="36"/>
        <v>1795</v>
      </c>
      <c r="Q1194" s="3" t="str">
        <f t="shared" si="37"/>
        <v>2025-35341795</v>
      </c>
      <c r="R1194" t="s">
        <v>2135</v>
      </c>
      <c r="S1194" t="s">
        <v>60</v>
      </c>
      <c r="T1194" t="s">
        <v>102</v>
      </c>
    </row>
    <row r="1195" spans="1:28" hidden="1">
      <c r="A1195" t="s">
        <v>2005</v>
      </c>
      <c r="B1195" t="s">
        <v>301</v>
      </c>
      <c r="C1195" t="s">
        <v>69</v>
      </c>
      <c r="D1195" t="s">
        <v>2470</v>
      </c>
      <c r="E1195" t="s">
        <v>2132</v>
      </c>
      <c r="F1195" s="1" t="s">
        <v>2133</v>
      </c>
      <c r="G1195" t="s">
        <v>2471</v>
      </c>
      <c r="H1195" t="s">
        <v>664</v>
      </c>
      <c r="I1195">
        <v>44</v>
      </c>
      <c r="J1195">
        <v>171.25</v>
      </c>
      <c r="K1195">
        <v>171.25</v>
      </c>
      <c r="L1195">
        <v>171.25</v>
      </c>
      <c r="M1195">
        <v>171.25</v>
      </c>
      <c r="N1195" t="s">
        <v>45</v>
      </c>
      <c r="O1195">
        <v>1</v>
      </c>
      <c r="P1195" s="3">
        <f t="shared" si="36"/>
        <v>171.25</v>
      </c>
      <c r="Q1195" s="3" t="str">
        <f t="shared" si="37"/>
        <v>2025-3535171.25</v>
      </c>
      <c r="R1195" t="s">
        <v>2135</v>
      </c>
      <c r="S1195" t="s">
        <v>60</v>
      </c>
      <c r="T1195" t="s">
        <v>102</v>
      </c>
    </row>
    <row r="1196" spans="1:28" hidden="1">
      <c r="A1196" t="s">
        <v>2005</v>
      </c>
      <c r="B1196" t="s">
        <v>301</v>
      </c>
      <c r="C1196" t="s">
        <v>69</v>
      </c>
      <c r="D1196" t="s">
        <v>2472</v>
      </c>
      <c r="E1196" t="s">
        <v>2132</v>
      </c>
      <c r="F1196" s="1" t="s">
        <v>2133</v>
      </c>
      <c r="G1196" t="s">
        <v>2473</v>
      </c>
      <c r="H1196" t="s">
        <v>664</v>
      </c>
      <c r="I1196">
        <v>44</v>
      </c>
      <c r="J1196">
        <v>200</v>
      </c>
      <c r="K1196">
        <v>200</v>
      </c>
      <c r="L1196">
        <v>200</v>
      </c>
      <c r="M1196">
        <v>200</v>
      </c>
      <c r="N1196" t="s">
        <v>45</v>
      </c>
      <c r="O1196">
        <v>1</v>
      </c>
      <c r="P1196" s="3">
        <f t="shared" si="36"/>
        <v>200</v>
      </c>
      <c r="Q1196" s="3" t="str">
        <f t="shared" si="37"/>
        <v>2025-3536200</v>
      </c>
      <c r="R1196" t="s">
        <v>2135</v>
      </c>
      <c r="S1196" t="s">
        <v>60</v>
      </c>
      <c r="T1196" t="s">
        <v>102</v>
      </c>
    </row>
    <row r="1197" spans="1:28" hidden="1">
      <c r="A1197" t="s">
        <v>2005</v>
      </c>
      <c r="B1197" t="s">
        <v>96</v>
      </c>
      <c r="C1197" t="s">
        <v>69</v>
      </c>
      <c r="D1197" t="s">
        <v>2474</v>
      </c>
      <c r="E1197" t="s">
        <v>2475</v>
      </c>
      <c r="F1197" s="1" t="s">
        <v>2475</v>
      </c>
      <c r="G1197" t="s">
        <v>2476</v>
      </c>
      <c r="H1197" t="s">
        <v>664</v>
      </c>
      <c r="I1197">
        <v>44</v>
      </c>
      <c r="J1197">
        <v>66700</v>
      </c>
      <c r="K1197">
        <v>66700</v>
      </c>
      <c r="L1197">
        <v>66700</v>
      </c>
      <c r="M1197">
        <v>66700</v>
      </c>
      <c r="N1197" t="s">
        <v>45</v>
      </c>
      <c r="O1197">
        <v>1</v>
      </c>
      <c r="P1197" s="3">
        <f t="shared" si="36"/>
        <v>66700</v>
      </c>
      <c r="Q1197" s="3" t="str">
        <f t="shared" si="37"/>
        <v>INV-000297466700</v>
      </c>
      <c r="R1197" t="s">
        <v>2115</v>
      </c>
      <c r="S1197" t="s">
        <v>2477</v>
      </c>
    </row>
    <row r="1198" spans="1:28" hidden="1">
      <c r="A1198" t="s">
        <v>2005</v>
      </c>
      <c r="B1198" t="s">
        <v>527</v>
      </c>
      <c r="C1198" t="s">
        <v>69</v>
      </c>
      <c r="D1198" t="s">
        <v>2478</v>
      </c>
      <c r="E1198" t="s">
        <v>2479</v>
      </c>
      <c r="F1198" s="1" t="s">
        <v>2480</v>
      </c>
      <c r="G1198" t="s">
        <v>2481</v>
      </c>
      <c r="H1198" t="s">
        <v>664</v>
      </c>
      <c r="I1198">
        <v>44</v>
      </c>
      <c r="J1198">
        <v>410.52</v>
      </c>
      <c r="K1198">
        <v>410.52</v>
      </c>
      <c r="L1198">
        <v>410.52</v>
      </c>
      <c r="M1198">
        <v>410.52</v>
      </c>
      <c r="N1198" t="s">
        <v>45</v>
      </c>
      <c r="O1198">
        <v>1</v>
      </c>
      <c r="P1198" s="3">
        <f t="shared" si="36"/>
        <v>410.52</v>
      </c>
      <c r="Q1198" s="3" t="str">
        <f t="shared" si="37"/>
        <v>251116W010087410.52</v>
      </c>
      <c r="R1198" t="s">
        <v>758</v>
      </c>
      <c r="S1198" t="s">
        <v>60</v>
      </c>
    </row>
    <row r="1199" spans="1:28" hidden="1">
      <c r="A1199" t="s">
        <v>2005</v>
      </c>
      <c r="B1199" t="s">
        <v>664</v>
      </c>
      <c r="C1199" t="s">
        <v>51</v>
      </c>
      <c r="D1199" t="s">
        <v>2482</v>
      </c>
      <c r="E1199" t="s">
        <v>2483</v>
      </c>
      <c r="F1199" s="1" t="s">
        <v>2484</v>
      </c>
      <c r="G1199" t="s">
        <v>2485</v>
      </c>
      <c r="H1199" t="s">
        <v>664</v>
      </c>
      <c r="I1199">
        <v>44</v>
      </c>
      <c r="J1199">
        <v>-4950</v>
      </c>
      <c r="K1199">
        <v>-4950</v>
      </c>
      <c r="L1199">
        <v>-4950</v>
      </c>
      <c r="M1199">
        <v>-4950</v>
      </c>
      <c r="N1199" t="s">
        <v>45</v>
      </c>
      <c r="O1199">
        <v>1</v>
      </c>
      <c r="P1199" s="3">
        <f t="shared" si="36"/>
        <v>-4950</v>
      </c>
      <c r="Q1199" s="3" t="str">
        <f t="shared" si="37"/>
        <v>2025-2019-4950</v>
      </c>
      <c r="AB1199" t="s">
        <v>40</v>
      </c>
    </row>
    <row r="1200" spans="1:28" hidden="1">
      <c r="A1200" t="s">
        <v>2005</v>
      </c>
      <c r="B1200" t="s">
        <v>534</v>
      </c>
      <c r="C1200" t="s">
        <v>69</v>
      </c>
      <c r="D1200" t="s">
        <v>2486</v>
      </c>
      <c r="E1200" t="s">
        <v>2239</v>
      </c>
      <c r="F1200" s="1" t="s">
        <v>2240</v>
      </c>
      <c r="G1200" t="s">
        <v>2487</v>
      </c>
      <c r="H1200" t="s">
        <v>687</v>
      </c>
      <c r="I1200">
        <v>43</v>
      </c>
      <c r="J1200">
        <v>5050</v>
      </c>
      <c r="K1200">
        <v>5050</v>
      </c>
      <c r="L1200">
        <v>5050</v>
      </c>
      <c r="M1200">
        <v>5050</v>
      </c>
      <c r="N1200" t="s">
        <v>45</v>
      </c>
      <c r="O1200">
        <v>1</v>
      </c>
      <c r="P1200" s="3">
        <f t="shared" si="36"/>
        <v>5050</v>
      </c>
      <c r="Q1200" s="3" t="str">
        <f t="shared" si="37"/>
        <v>00008014125050</v>
      </c>
      <c r="AB1200" t="s">
        <v>85</v>
      </c>
    </row>
    <row r="1201" spans="1:30" hidden="1">
      <c r="A1201" t="s">
        <v>2005</v>
      </c>
      <c r="B1201" t="s">
        <v>96</v>
      </c>
      <c r="C1201" t="s">
        <v>69</v>
      </c>
      <c r="D1201" t="s">
        <v>2488</v>
      </c>
      <c r="E1201" t="s">
        <v>2317</v>
      </c>
      <c r="F1201" s="1" t="s">
        <v>2318</v>
      </c>
      <c r="G1201" t="s">
        <v>2319</v>
      </c>
      <c r="H1201" t="s">
        <v>687</v>
      </c>
      <c r="I1201">
        <v>43</v>
      </c>
      <c r="J1201">
        <v>656.06</v>
      </c>
      <c r="K1201">
        <v>656.06</v>
      </c>
      <c r="L1201">
        <v>656.06</v>
      </c>
      <c r="M1201">
        <v>656.06</v>
      </c>
      <c r="N1201" t="s">
        <v>45</v>
      </c>
      <c r="O1201">
        <v>1</v>
      </c>
      <c r="P1201" s="3">
        <f t="shared" si="36"/>
        <v>656.06</v>
      </c>
      <c r="Q1201" s="3" t="str">
        <f t="shared" si="37"/>
        <v>2370041889656.06</v>
      </c>
      <c r="R1201" t="s">
        <v>37</v>
      </c>
      <c r="S1201" t="s">
        <v>60</v>
      </c>
      <c r="AB1201" t="s">
        <v>85</v>
      </c>
      <c r="AC1201" t="s">
        <v>2489</v>
      </c>
    </row>
    <row r="1202" spans="1:30" hidden="1">
      <c r="A1202" t="s">
        <v>2005</v>
      </c>
      <c r="B1202" t="s">
        <v>96</v>
      </c>
      <c r="C1202" t="s">
        <v>69</v>
      </c>
      <c r="D1202" t="s">
        <v>2490</v>
      </c>
      <c r="E1202" t="s">
        <v>2317</v>
      </c>
      <c r="F1202" s="1" t="s">
        <v>2318</v>
      </c>
      <c r="G1202" t="s">
        <v>2491</v>
      </c>
      <c r="H1202" t="s">
        <v>687</v>
      </c>
      <c r="I1202">
        <v>43</v>
      </c>
      <c r="J1202">
        <v>124935.65</v>
      </c>
      <c r="K1202">
        <v>124935.65</v>
      </c>
      <c r="L1202">
        <v>124935.65</v>
      </c>
      <c r="M1202">
        <v>124935.65</v>
      </c>
      <c r="N1202" t="s">
        <v>45</v>
      </c>
      <c r="O1202">
        <v>1</v>
      </c>
      <c r="P1202" s="3">
        <f t="shared" si="36"/>
        <v>124935.65</v>
      </c>
      <c r="Q1202" s="3" t="str">
        <f t="shared" si="37"/>
        <v>2370060129124935.65</v>
      </c>
      <c r="R1202" t="s">
        <v>37</v>
      </c>
      <c r="S1202" t="s">
        <v>60</v>
      </c>
      <c r="AB1202" t="s">
        <v>85</v>
      </c>
      <c r="AC1202" t="s">
        <v>2489</v>
      </c>
    </row>
    <row r="1203" spans="1:30" hidden="1">
      <c r="A1203" t="s">
        <v>2005</v>
      </c>
      <c r="B1203" t="s">
        <v>96</v>
      </c>
      <c r="C1203" t="s">
        <v>69</v>
      </c>
      <c r="D1203" t="s">
        <v>2492</v>
      </c>
      <c r="E1203" t="s">
        <v>2009</v>
      </c>
      <c r="F1203" s="1" t="s">
        <v>2010</v>
      </c>
      <c r="G1203" t="s">
        <v>2493</v>
      </c>
      <c r="H1203" t="s">
        <v>687</v>
      </c>
      <c r="I1203">
        <v>43</v>
      </c>
      <c r="J1203">
        <v>2837.94</v>
      </c>
      <c r="K1203">
        <v>2837.94</v>
      </c>
      <c r="L1203">
        <v>2837.94</v>
      </c>
      <c r="M1203">
        <v>2837.94</v>
      </c>
      <c r="N1203" t="s">
        <v>45</v>
      </c>
      <c r="O1203">
        <v>1</v>
      </c>
      <c r="P1203" s="3">
        <f t="shared" si="36"/>
        <v>2837.94</v>
      </c>
      <c r="Q1203" s="3" t="str">
        <f t="shared" si="37"/>
        <v>AG7I74M2837.94</v>
      </c>
      <c r="R1203" t="s">
        <v>37</v>
      </c>
      <c r="S1203" t="s">
        <v>60</v>
      </c>
      <c r="T1203" t="s">
        <v>102</v>
      </c>
      <c r="AB1203" t="s">
        <v>85</v>
      </c>
      <c r="AD1203" t="s">
        <v>2186</v>
      </c>
    </row>
    <row r="1204" spans="1:30" hidden="1">
      <c r="A1204" t="s">
        <v>2005</v>
      </c>
      <c r="B1204" t="s">
        <v>96</v>
      </c>
      <c r="C1204" t="s">
        <v>69</v>
      </c>
      <c r="D1204" t="s">
        <v>2494</v>
      </c>
      <c r="E1204" t="s">
        <v>2495</v>
      </c>
      <c r="F1204" s="1" t="s">
        <v>2496</v>
      </c>
      <c r="G1204" t="s">
        <v>2497</v>
      </c>
      <c r="H1204" t="s">
        <v>687</v>
      </c>
      <c r="I1204">
        <v>43</v>
      </c>
      <c r="J1204">
        <v>780</v>
      </c>
      <c r="K1204">
        <v>780</v>
      </c>
      <c r="L1204">
        <v>780</v>
      </c>
      <c r="M1204">
        <v>780</v>
      </c>
      <c r="N1204" t="s">
        <v>45</v>
      </c>
      <c r="O1204">
        <v>1</v>
      </c>
      <c r="P1204" s="3">
        <f t="shared" si="36"/>
        <v>780</v>
      </c>
      <c r="Q1204" s="3" t="str">
        <f t="shared" si="37"/>
        <v>852807888780</v>
      </c>
      <c r="R1204" t="s">
        <v>2167</v>
      </c>
      <c r="S1204" t="s">
        <v>60</v>
      </c>
      <c r="T1204" t="s">
        <v>102</v>
      </c>
      <c r="AB1204" t="s">
        <v>85</v>
      </c>
    </row>
    <row r="1205" spans="1:30" hidden="1">
      <c r="A1205" t="s">
        <v>2005</v>
      </c>
      <c r="B1205" t="s">
        <v>426</v>
      </c>
      <c r="C1205" t="s">
        <v>69</v>
      </c>
      <c r="D1205" t="s">
        <v>2498</v>
      </c>
      <c r="E1205" t="s">
        <v>2042</v>
      </c>
      <c r="F1205" s="1" t="s">
        <v>2043</v>
      </c>
      <c r="G1205" t="s">
        <v>2499</v>
      </c>
      <c r="H1205" t="s">
        <v>687</v>
      </c>
      <c r="I1205">
        <v>43</v>
      </c>
      <c r="J1205">
        <v>2788.34</v>
      </c>
      <c r="K1205">
        <v>2788.34</v>
      </c>
      <c r="L1205">
        <v>2788.34</v>
      </c>
      <c r="M1205">
        <v>2788.34</v>
      </c>
      <c r="N1205" t="s">
        <v>45</v>
      </c>
      <c r="O1205">
        <v>1</v>
      </c>
      <c r="P1205" s="3">
        <f t="shared" si="36"/>
        <v>2788.34</v>
      </c>
      <c r="Q1205" s="3" t="str">
        <f t="shared" si="37"/>
        <v>1220202321222788.34</v>
      </c>
      <c r="R1205" t="s">
        <v>318</v>
      </c>
      <c r="S1205" t="s">
        <v>60</v>
      </c>
      <c r="AB1205" t="s">
        <v>85</v>
      </c>
    </row>
    <row r="1206" spans="1:30" hidden="1">
      <c r="A1206" t="s">
        <v>2005</v>
      </c>
      <c r="B1206" t="s">
        <v>687</v>
      </c>
      <c r="C1206" t="s">
        <v>69</v>
      </c>
      <c r="D1206" t="s">
        <v>2500</v>
      </c>
      <c r="E1206" t="s">
        <v>2501</v>
      </c>
      <c r="F1206" s="1" t="s">
        <v>2502</v>
      </c>
      <c r="G1206" t="s">
        <v>2503</v>
      </c>
      <c r="H1206" t="s">
        <v>687</v>
      </c>
      <c r="I1206">
        <v>43</v>
      </c>
      <c r="J1206">
        <v>25075.65</v>
      </c>
      <c r="K1206">
        <v>25075.65</v>
      </c>
      <c r="L1206">
        <v>25075.65</v>
      </c>
      <c r="M1206">
        <v>25075.65</v>
      </c>
      <c r="N1206" t="s">
        <v>45</v>
      </c>
      <c r="O1206">
        <v>1</v>
      </c>
      <c r="P1206" s="3">
        <f t="shared" si="36"/>
        <v>25075.65</v>
      </c>
      <c r="Q1206" s="3" t="str">
        <f t="shared" si="37"/>
        <v>S2023728-122525075.65</v>
      </c>
      <c r="R1206" t="s">
        <v>202</v>
      </c>
      <c r="S1206" t="s">
        <v>60</v>
      </c>
      <c r="AB1206" t="s">
        <v>85</v>
      </c>
    </row>
    <row r="1207" spans="1:30" hidden="1">
      <c r="A1207" t="s">
        <v>2005</v>
      </c>
      <c r="B1207" t="s">
        <v>687</v>
      </c>
      <c r="C1207" t="s">
        <v>69</v>
      </c>
      <c r="D1207" t="s">
        <v>2504</v>
      </c>
      <c r="E1207" t="s">
        <v>2505</v>
      </c>
      <c r="F1207" s="1" t="s">
        <v>2506</v>
      </c>
      <c r="G1207" t="s">
        <v>2507</v>
      </c>
      <c r="H1207" t="s">
        <v>687</v>
      </c>
      <c r="I1207">
        <v>43</v>
      </c>
      <c r="J1207">
        <v>206002.37</v>
      </c>
      <c r="K1207">
        <v>206002.37</v>
      </c>
      <c r="L1207">
        <v>206002.37</v>
      </c>
      <c r="M1207">
        <v>206002.37</v>
      </c>
      <c r="N1207" t="s">
        <v>45</v>
      </c>
      <c r="O1207">
        <v>1</v>
      </c>
      <c r="P1207" s="3">
        <f t="shared" ref="P1207:P1269" si="38">IF(N1207="CAD",$P$1,1)*M1207</f>
        <v>206002.37</v>
      </c>
      <c r="Q1207" s="3" t="str">
        <f t="shared" ref="Q1207:Q1269" si="39">D1207&amp;M1207</f>
        <v>D8B49B66-0016206002.37</v>
      </c>
      <c r="R1207" t="s">
        <v>37</v>
      </c>
      <c r="S1207" t="s">
        <v>60</v>
      </c>
      <c r="T1207" t="s">
        <v>102</v>
      </c>
      <c r="AB1207" t="s">
        <v>85</v>
      </c>
      <c r="AD1207" t="s">
        <v>2508</v>
      </c>
    </row>
    <row r="1208" spans="1:30" hidden="1">
      <c r="A1208" t="s">
        <v>2005</v>
      </c>
      <c r="B1208" t="s">
        <v>687</v>
      </c>
      <c r="C1208" t="s">
        <v>69</v>
      </c>
      <c r="D1208" t="s">
        <v>2509</v>
      </c>
      <c r="E1208" t="s">
        <v>2255</v>
      </c>
      <c r="F1208" s="1" t="s">
        <v>2256</v>
      </c>
      <c r="G1208" t="s">
        <v>2510</v>
      </c>
      <c r="H1208" t="s">
        <v>687</v>
      </c>
      <c r="I1208">
        <v>43</v>
      </c>
      <c r="J1208">
        <v>20.59</v>
      </c>
      <c r="K1208">
        <v>20.59</v>
      </c>
      <c r="L1208">
        <v>20.59</v>
      </c>
      <c r="M1208">
        <v>20.59</v>
      </c>
      <c r="N1208" t="s">
        <v>45</v>
      </c>
      <c r="O1208">
        <v>1</v>
      </c>
      <c r="P1208" s="3">
        <f t="shared" si="38"/>
        <v>20.59</v>
      </c>
      <c r="Q1208" s="3" t="str">
        <f t="shared" si="39"/>
        <v>462923320.59</v>
      </c>
      <c r="AB1208" t="s">
        <v>85</v>
      </c>
    </row>
    <row r="1209" spans="1:30" hidden="1">
      <c r="A1209" t="s">
        <v>2005</v>
      </c>
      <c r="B1209" t="s">
        <v>687</v>
      </c>
      <c r="C1209" t="s">
        <v>69</v>
      </c>
      <c r="D1209" t="s">
        <v>2511</v>
      </c>
      <c r="E1209" t="s">
        <v>2255</v>
      </c>
      <c r="F1209" s="1" t="s">
        <v>2256</v>
      </c>
      <c r="G1209" t="s">
        <v>2512</v>
      </c>
      <c r="H1209" t="s">
        <v>687</v>
      </c>
      <c r="I1209">
        <v>43</v>
      </c>
      <c r="J1209">
        <v>20.59</v>
      </c>
      <c r="K1209">
        <v>20.59</v>
      </c>
      <c r="L1209">
        <v>20.59</v>
      </c>
      <c r="M1209">
        <v>20.59</v>
      </c>
      <c r="N1209" t="s">
        <v>45</v>
      </c>
      <c r="O1209">
        <v>1</v>
      </c>
      <c r="P1209" s="3">
        <f t="shared" si="38"/>
        <v>20.59</v>
      </c>
      <c r="Q1209" s="3" t="str">
        <f t="shared" si="39"/>
        <v>462877820.59</v>
      </c>
      <c r="AB1209" t="s">
        <v>85</v>
      </c>
    </row>
    <row r="1210" spans="1:30" hidden="1">
      <c r="A1210" t="s">
        <v>2005</v>
      </c>
      <c r="B1210" t="s">
        <v>687</v>
      </c>
      <c r="C1210" t="s">
        <v>69</v>
      </c>
      <c r="D1210" t="s">
        <v>2513</v>
      </c>
      <c r="E1210" t="s">
        <v>2255</v>
      </c>
      <c r="F1210" s="1" t="s">
        <v>2256</v>
      </c>
      <c r="G1210" t="s">
        <v>2514</v>
      </c>
      <c r="H1210" t="s">
        <v>687</v>
      </c>
      <c r="I1210">
        <v>43</v>
      </c>
      <c r="J1210">
        <v>41.17</v>
      </c>
      <c r="K1210">
        <v>41.17</v>
      </c>
      <c r="L1210">
        <v>41.17</v>
      </c>
      <c r="M1210">
        <v>41.17</v>
      </c>
      <c r="N1210" t="s">
        <v>45</v>
      </c>
      <c r="O1210">
        <v>1</v>
      </c>
      <c r="P1210" s="3">
        <f t="shared" si="38"/>
        <v>41.17</v>
      </c>
      <c r="Q1210" s="3" t="str">
        <f t="shared" si="39"/>
        <v>461701541.17</v>
      </c>
      <c r="AB1210" t="s">
        <v>85</v>
      </c>
    </row>
    <row r="1211" spans="1:30" hidden="1">
      <c r="A1211" t="s">
        <v>2005</v>
      </c>
      <c r="B1211" t="s">
        <v>687</v>
      </c>
      <c r="C1211" t="s">
        <v>69</v>
      </c>
      <c r="D1211" t="s">
        <v>2515</v>
      </c>
      <c r="E1211" t="s">
        <v>2255</v>
      </c>
      <c r="F1211" s="1" t="s">
        <v>2256</v>
      </c>
      <c r="G1211" t="s">
        <v>2516</v>
      </c>
      <c r="H1211" t="s">
        <v>687</v>
      </c>
      <c r="I1211">
        <v>43</v>
      </c>
      <c r="J1211">
        <v>123.79</v>
      </c>
      <c r="K1211">
        <v>123.79</v>
      </c>
      <c r="L1211">
        <v>123.79</v>
      </c>
      <c r="M1211">
        <v>123.79</v>
      </c>
      <c r="N1211" t="s">
        <v>45</v>
      </c>
      <c r="O1211">
        <v>1</v>
      </c>
      <c r="P1211" s="3">
        <f t="shared" si="38"/>
        <v>123.79</v>
      </c>
      <c r="Q1211" s="3" t="str">
        <f t="shared" si="39"/>
        <v>4610201123.79</v>
      </c>
      <c r="AB1211" t="s">
        <v>85</v>
      </c>
    </row>
    <row r="1212" spans="1:30" hidden="1">
      <c r="A1212" t="s">
        <v>2005</v>
      </c>
      <c r="B1212" t="s">
        <v>687</v>
      </c>
      <c r="C1212" t="s">
        <v>69</v>
      </c>
      <c r="D1212" t="s">
        <v>2517</v>
      </c>
      <c r="E1212" t="s">
        <v>2028</v>
      </c>
      <c r="F1212" s="1" t="s">
        <v>2029</v>
      </c>
      <c r="G1212" t="s">
        <v>2518</v>
      </c>
      <c r="H1212" t="s">
        <v>687</v>
      </c>
      <c r="I1212">
        <v>43</v>
      </c>
      <c r="J1212">
        <v>3363.7</v>
      </c>
      <c r="K1212">
        <v>3363.7007199999998</v>
      </c>
      <c r="L1212">
        <v>105830</v>
      </c>
      <c r="M1212">
        <v>105830</v>
      </c>
      <c r="N1212" t="s">
        <v>2031</v>
      </c>
      <c r="O1212">
        <v>3.1784E-2</v>
      </c>
      <c r="P1212" s="3">
        <f t="shared" si="38"/>
        <v>105830</v>
      </c>
      <c r="Q1212" s="3" t="str">
        <f t="shared" si="39"/>
        <v>RV38751457105830</v>
      </c>
      <c r="R1212" t="s">
        <v>37</v>
      </c>
      <c r="AB1212" t="s">
        <v>85</v>
      </c>
    </row>
    <row r="1213" spans="1:30" hidden="1">
      <c r="A1213" t="s">
        <v>2005</v>
      </c>
      <c r="B1213" t="s">
        <v>687</v>
      </c>
      <c r="C1213" t="s">
        <v>69</v>
      </c>
      <c r="D1213" t="s">
        <v>2519</v>
      </c>
      <c r="E1213" t="s">
        <v>2086</v>
      </c>
      <c r="F1213" s="1" t="s">
        <v>585</v>
      </c>
      <c r="G1213" t="s">
        <v>2520</v>
      </c>
      <c r="H1213" t="s">
        <v>687</v>
      </c>
      <c r="I1213">
        <v>43</v>
      </c>
      <c r="J1213">
        <v>5640.51</v>
      </c>
      <c r="K1213">
        <v>5640.51</v>
      </c>
      <c r="L1213">
        <v>5640.51</v>
      </c>
      <c r="M1213">
        <v>5640.51</v>
      </c>
      <c r="N1213" t="s">
        <v>45</v>
      </c>
      <c r="O1213">
        <v>1</v>
      </c>
      <c r="P1213" s="3">
        <f t="shared" si="38"/>
        <v>5640.51</v>
      </c>
      <c r="Q1213" s="3" t="str">
        <f t="shared" si="39"/>
        <v>98IV146755640.51</v>
      </c>
      <c r="AB1213" t="s">
        <v>85</v>
      </c>
    </row>
    <row r="1214" spans="1:30" hidden="1">
      <c r="A1214" t="s">
        <v>2005</v>
      </c>
      <c r="B1214" t="s">
        <v>687</v>
      </c>
      <c r="C1214" t="s">
        <v>69</v>
      </c>
      <c r="D1214" t="s">
        <v>2521</v>
      </c>
      <c r="E1214" t="s">
        <v>2086</v>
      </c>
      <c r="F1214" s="1" t="s">
        <v>585</v>
      </c>
      <c r="G1214" t="s">
        <v>2522</v>
      </c>
      <c r="H1214" t="s">
        <v>687</v>
      </c>
      <c r="I1214">
        <v>43</v>
      </c>
      <c r="J1214">
        <v>9310.68</v>
      </c>
      <c r="K1214">
        <v>9310.68</v>
      </c>
      <c r="L1214">
        <v>9310.68</v>
      </c>
      <c r="M1214">
        <v>9310.68</v>
      </c>
      <c r="N1214" t="s">
        <v>45</v>
      </c>
      <c r="O1214">
        <v>1</v>
      </c>
      <c r="P1214" s="3">
        <f t="shared" si="38"/>
        <v>9310.68</v>
      </c>
      <c r="Q1214" s="3" t="str">
        <f t="shared" si="39"/>
        <v>98IV150929310.68</v>
      </c>
      <c r="AB1214" t="s">
        <v>85</v>
      </c>
    </row>
    <row r="1215" spans="1:30" hidden="1">
      <c r="A1215" t="s">
        <v>2005</v>
      </c>
      <c r="B1215" t="s">
        <v>687</v>
      </c>
      <c r="C1215" t="s">
        <v>69</v>
      </c>
      <c r="D1215" t="s">
        <v>2523</v>
      </c>
      <c r="E1215" t="s">
        <v>2372</v>
      </c>
      <c r="F1215" s="1" t="s">
        <v>2373</v>
      </c>
      <c r="G1215" t="s">
        <v>2524</v>
      </c>
      <c r="H1215" t="s">
        <v>687</v>
      </c>
      <c r="I1215">
        <v>43</v>
      </c>
      <c r="J1215">
        <v>4522.5</v>
      </c>
      <c r="K1215">
        <v>4522.5</v>
      </c>
      <c r="L1215">
        <v>4522.5</v>
      </c>
      <c r="M1215">
        <v>4522.5</v>
      </c>
      <c r="N1215" t="s">
        <v>45</v>
      </c>
      <c r="O1215">
        <v>1</v>
      </c>
      <c r="P1215" s="3">
        <f t="shared" si="38"/>
        <v>4522.5</v>
      </c>
      <c r="Q1215" s="3" t="str">
        <f t="shared" si="39"/>
        <v>TEN25Q4G4522.5</v>
      </c>
      <c r="R1215" t="s">
        <v>318</v>
      </c>
      <c r="S1215" t="s">
        <v>60</v>
      </c>
      <c r="T1215" t="s">
        <v>102</v>
      </c>
      <c r="AB1215" t="s">
        <v>85</v>
      </c>
    </row>
    <row r="1216" spans="1:30" hidden="1">
      <c r="A1216" t="s">
        <v>2005</v>
      </c>
      <c r="B1216" t="s">
        <v>687</v>
      </c>
      <c r="C1216" t="s">
        <v>69</v>
      </c>
      <c r="D1216" t="s">
        <v>2525</v>
      </c>
      <c r="E1216" t="s">
        <v>2526</v>
      </c>
      <c r="F1216" s="1" t="s">
        <v>2527</v>
      </c>
      <c r="G1216" t="s">
        <v>2528</v>
      </c>
      <c r="H1216" t="s">
        <v>687</v>
      </c>
      <c r="I1216">
        <v>43</v>
      </c>
      <c r="J1216">
        <v>35202</v>
      </c>
      <c r="K1216">
        <v>2046</v>
      </c>
      <c r="L1216">
        <v>35202</v>
      </c>
      <c r="M1216">
        <v>2046</v>
      </c>
      <c r="N1216" t="s">
        <v>45</v>
      </c>
      <c r="O1216">
        <v>1</v>
      </c>
      <c r="P1216" s="3">
        <f t="shared" si="38"/>
        <v>2046</v>
      </c>
      <c r="Q1216" s="3" t="str">
        <f t="shared" si="39"/>
        <v>10011200222046</v>
      </c>
      <c r="R1216" t="s">
        <v>186</v>
      </c>
      <c r="AB1216" t="s">
        <v>85</v>
      </c>
    </row>
    <row r="1217" spans="1:30" hidden="1">
      <c r="A1217" t="s">
        <v>2005</v>
      </c>
      <c r="B1217" t="s">
        <v>687</v>
      </c>
      <c r="C1217" t="s">
        <v>69</v>
      </c>
      <c r="D1217" t="s">
        <v>2529</v>
      </c>
      <c r="E1217" t="s">
        <v>2526</v>
      </c>
      <c r="F1217" s="1" t="s">
        <v>2527</v>
      </c>
      <c r="G1217" t="s">
        <v>2530</v>
      </c>
      <c r="H1217" t="s">
        <v>687</v>
      </c>
      <c r="I1217">
        <v>43</v>
      </c>
      <c r="J1217">
        <v>976</v>
      </c>
      <c r="K1217">
        <v>976</v>
      </c>
      <c r="L1217">
        <v>976</v>
      </c>
      <c r="M1217">
        <v>976</v>
      </c>
      <c r="N1217" t="s">
        <v>45</v>
      </c>
      <c r="O1217">
        <v>1</v>
      </c>
      <c r="P1217" s="3">
        <f t="shared" si="38"/>
        <v>976</v>
      </c>
      <c r="Q1217" s="3" t="str">
        <f t="shared" si="39"/>
        <v>1001201897976</v>
      </c>
      <c r="R1217" t="s">
        <v>186</v>
      </c>
      <c r="AB1217" t="s">
        <v>85</v>
      </c>
    </row>
    <row r="1218" spans="1:30" hidden="1">
      <c r="A1218" t="s">
        <v>2005</v>
      </c>
      <c r="B1218" t="s">
        <v>687</v>
      </c>
      <c r="C1218" t="s">
        <v>69</v>
      </c>
      <c r="D1218" t="s">
        <v>2531</v>
      </c>
      <c r="E1218" t="s">
        <v>2230</v>
      </c>
      <c r="F1218" s="1" t="s">
        <v>2231</v>
      </c>
      <c r="G1218" t="s">
        <v>2532</v>
      </c>
      <c r="H1218" t="s">
        <v>687</v>
      </c>
      <c r="I1218">
        <v>43</v>
      </c>
      <c r="J1218">
        <v>2990.35</v>
      </c>
      <c r="K1218">
        <v>2990.3492080800002</v>
      </c>
      <c r="L1218">
        <v>2575.17</v>
      </c>
      <c r="M1218">
        <v>2575.17</v>
      </c>
      <c r="N1218" t="s">
        <v>601</v>
      </c>
      <c r="O1218">
        <v>1.161224</v>
      </c>
      <c r="P1218" s="3">
        <f t="shared" si="38"/>
        <v>2575.17</v>
      </c>
      <c r="Q1218" s="3" t="str">
        <f t="shared" si="39"/>
        <v>IESI2852042575.17</v>
      </c>
      <c r="AB1218" t="s">
        <v>85</v>
      </c>
    </row>
    <row r="1219" spans="1:30" hidden="1">
      <c r="A1219" t="s">
        <v>2005</v>
      </c>
      <c r="B1219" t="s">
        <v>687</v>
      </c>
      <c r="C1219" t="s">
        <v>69</v>
      </c>
      <c r="D1219" t="s">
        <v>2533</v>
      </c>
      <c r="E1219" t="s">
        <v>2230</v>
      </c>
      <c r="F1219" s="1" t="s">
        <v>2231</v>
      </c>
      <c r="G1219" t="s">
        <v>2534</v>
      </c>
      <c r="H1219" t="s">
        <v>687</v>
      </c>
      <c r="I1219">
        <v>43</v>
      </c>
      <c r="J1219">
        <v>3017.52</v>
      </c>
      <c r="K1219">
        <v>3017.5218496799998</v>
      </c>
      <c r="L1219">
        <v>2598.5700000000002</v>
      </c>
      <c r="M1219">
        <v>2598.5700000000002</v>
      </c>
      <c r="N1219" t="s">
        <v>601</v>
      </c>
      <c r="O1219">
        <v>1.161224</v>
      </c>
      <c r="P1219" s="3">
        <f t="shared" si="38"/>
        <v>2598.5700000000002</v>
      </c>
      <c r="Q1219" s="3" t="str">
        <f t="shared" si="39"/>
        <v>IESI2824562598.57</v>
      </c>
      <c r="AB1219" t="s">
        <v>85</v>
      </c>
    </row>
    <row r="1220" spans="1:30" hidden="1">
      <c r="A1220" t="s">
        <v>2005</v>
      </c>
      <c r="B1220" t="s">
        <v>687</v>
      </c>
      <c r="C1220" t="s">
        <v>69</v>
      </c>
      <c r="D1220" t="s">
        <v>2535</v>
      </c>
      <c r="E1220" t="s">
        <v>2230</v>
      </c>
      <c r="F1220" s="1" t="s">
        <v>2231</v>
      </c>
      <c r="G1220" t="s">
        <v>2534</v>
      </c>
      <c r="H1220" t="s">
        <v>687</v>
      </c>
      <c r="I1220">
        <v>43</v>
      </c>
      <c r="J1220">
        <v>3017.52</v>
      </c>
      <c r="K1220">
        <v>3017.5218496799998</v>
      </c>
      <c r="L1220">
        <v>2598.5700000000002</v>
      </c>
      <c r="M1220">
        <v>2598.5700000000002</v>
      </c>
      <c r="N1220" t="s">
        <v>601</v>
      </c>
      <c r="O1220">
        <v>1.161224</v>
      </c>
      <c r="P1220" s="3">
        <f t="shared" si="38"/>
        <v>2598.5700000000002</v>
      </c>
      <c r="Q1220" s="3" t="str">
        <f t="shared" si="39"/>
        <v>IESI2811092598.57</v>
      </c>
      <c r="AB1220" t="s">
        <v>85</v>
      </c>
    </row>
    <row r="1221" spans="1:30" hidden="1">
      <c r="A1221" t="s">
        <v>2005</v>
      </c>
      <c r="B1221" t="s">
        <v>349</v>
      </c>
      <c r="C1221" t="s">
        <v>69</v>
      </c>
      <c r="D1221" t="s">
        <v>2536</v>
      </c>
      <c r="E1221" t="s">
        <v>2537</v>
      </c>
      <c r="F1221" s="1" t="s">
        <v>2538</v>
      </c>
      <c r="G1221" t="s">
        <v>2539</v>
      </c>
      <c r="H1221" t="s">
        <v>746</v>
      </c>
      <c r="I1221">
        <v>41</v>
      </c>
      <c r="J1221">
        <v>15140</v>
      </c>
      <c r="K1221">
        <v>15140</v>
      </c>
      <c r="L1221">
        <v>15140</v>
      </c>
      <c r="M1221">
        <v>15140</v>
      </c>
      <c r="N1221" t="s">
        <v>45</v>
      </c>
      <c r="O1221">
        <v>1</v>
      </c>
      <c r="P1221" s="3">
        <f t="shared" si="38"/>
        <v>15140</v>
      </c>
      <c r="Q1221" s="3" t="str">
        <f t="shared" si="39"/>
        <v>525910215140</v>
      </c>
      <c r="R1221" t="s">
        <v>2540</v>
      </c>
      <c r="AB1221" t="s">
        <v>85</v>
      </c>
    </row>
    <row r="1222" spans="1:30" hidden="1">
      <c r="A1222" t="s">
        <v>2005</v>
      </c>
      <c r="B1222" t="s">
        <v>349</v>
      </c>
      <c r="C1222" t="s">
        <v>69</v>
      </c>
      <c r="D1222" t="s">
        <v>2541</v>
      </c>
      <c r="E1222" t="s">
        <v>2542</v>
      </c>
      <c r="F1222" s="1" t="s">
        <v>2543</v>
      </c>
      <c r="G1222" t="s">
        <v>2544</v>
      </c>
      <c r="H1222" t="s">
        <v>746</v>
      </c>
      <c r="I1222">
        <v>41</v>
      </c>
      <c r="J1222">
        <v>9765.82</v>
      </c>
      <c r="K1222">
        <v>9765.8171702</v>
      </c>
      <c r="L1222">
        <v>7900.06</v>
      </c>
      <c r="M1222">
        <v>7900.06</v>
      </c>
      <c r="N1222" t="s">
        <v>2545</v>
      </c>
      <c r="O1222">
        <v>1.23617</v>
      </c>
      <c r="P1222" s="3">
        <f t="shared" si="38"/>
        <v>7900.06</v>
      </c>
      <c r="Q1222" s="3" t="str">
        <f t="shared" si="39"/>
        <v>2511-000027900.06</v>
      </c>
      <c r="R1222" t="s">
        <v>758</v>
      </c>
      <c r="S1222" t="s">
        <v>60</v>
      </c>
      <c r="AB1222" t="s">
        <v>85</v>
      </c>
    </row>
    <row r="1223" spans="1:30" hidden="1">
      <c r="A1223" t="s">
        <v>2005</v>
      </c>
      <c r="B1223" t="s">
        <v>687</v>
      </c>
      <c r="C1223" t="s">
        <v>69</v>
      </c>
      <c r="D1223" t="s">
        <v>2546</v>
      </c>
      <c r="E1223" t="s">
        <v>2411</v>
      </c>
      <c r="F1223" s="1" t="s">
        <v>2412</v>
      </c>
      <c r="G1223" t="s">
        <v>2547</v>
      </c>
      <c r="H1223" t="s">
        <v>746</v>
      </c>
      <c r="I1223">
        <v>41</v>
      </c>
      <c r="J1223">
        <v>13725.54</v>
      </c>
      <c r="K1223">
        <v>13725.54</v>
      </c>
      <c r="L1223">
        <v>13725.54</v>
      </c>
      <c r="M1223">
        <v>13725.54</v>
      </c>
      <c r="N1223" t="s">
        <v>45</v>
      </c>
      <c r="O1223">
        <v>1</v>
      </c>
      <c r="P1223" s="3">
        <f t="shared" si="38"/>
        <v>13725.54</v>
      </c>
      <c r="Q1223" s="3" t="str">
        <f t="shared" si="39"/>
        <v>INV10635409313725.54</v>
      </c>
      <c r="AB1223" t="s">
        <v>85</v>
      </c>
    </row>
    <row r="1224" spans="1:30" hidden="1">
      <c r="A1224" t="s">
        <v>2005</v>
      </c>
      <c r="B1224" t="s">
        <v>746</v>
      </c>
      <c r="C1224" t="s">
        <v>69</v>
      </c>
      <c r="D1224" t="s">
        <v>2548</v>
      </c>
      <c r="E1224" t="s">
        <v>2222</v>
      </c>
      <c r="F1224" s="1" t="s">
        <v>2223</v>
      </c>
      <c r="G1224" t="s">
        <v>2549</v>
      </c>
      <c r="H1224" t="s">
        <v>746</v>
      </c>
      <c r="I1224">
        <v>41</v>
      </c>
      <c r="J1224">
        <v>18005</v>
      </c>
      <c r="K1224">
        <v>18005</v>
      </c>
      <c r="L1224">
        <v>18005</v>
      </c>
      <c r="M1224">
        <v>18005</v>
      </c>
      <c r="N1224" t="s">
        <v>45</v>
      </c>
      <c r="O1224">
        <v>1</v>
      </c>
      <c r="P1224" s="3">
        <f t="shared" si="38"/>
        <v>18005</v>
      </c>
      <c r="Q1224" s="3" t="str">
        <f t="shared" si="39"/>
        <v>1022018005</v>
      </c>
      <c r="R1224" t="s">
        <v>186</v>
      </c>
      <c r="AB1224" t="s">
        <v>85</v>
      </c>
    </row>
    <row r="1225" spans="1:30" hidden="1">
      <c r="A1225" t="s">
        <v>2005</v>
      </c>
      <c r="B1225" t="s">
        <v>354</v>
      </c>
      <c r="C1225" t="s">
        <v>69</v>
      </c>
      <c r="D1225" t="s">
        <v>2550</v>
      </c>
      <c r="E1225" t="s">
        <v>2260</v>
      </c>
      <c r="F1225" s="1" t="s">
        <v>2261</v>
      </c>
      <c r="G1225" t="s">
        <v>2551</v>
      </c>
      <c r="H1225" t="s">
        <v>761</v>
      </c>
      <c r="I1225">
        <v>40</v>
      </c>
      <c r="J1225">
        <v>4846.6400000000003</v>
      </c>
      <c r="K1225">
        <v>4846.6400000000003</v>
      </c>
      <c r="L1225">
        <v>4846.6400000000003</v>
      </c>
      <c r="M1225">
        <v>4846.6400000000003</v>
      </c>
      <c r="N1225" t="s">
        <v>45</v>
      </c>
      <c r="O1225">
        <v>1</v>
      </c>
      <c r="P1225" s="3">
        <f t="shared" si="38"/>
        <v>4846.6400000000003</v>
      </c>
      <c r="Q1225" s="3" t="str">
        <f t="shared" si="39"/>
        <v>B204590304846.64</v>
      </c>
      <c r="R1225" t="s">
        <v>37</v>
      </c>
      <c r="S1225" t="s">
        <v>60</v>
      </c>
      <c r="T1225" t="s">
        <v>102</v>
      </c>
      <c r="AB1225" t="s">
        <v>85</v>
      </c>
    </row>
    <row r="1226" spans="1:30" hidden="1">
      <c r="A1226" t="s">
        <v>2005</v>
      </c>
      <c r="B1226" t="s">
        <v>354</v>
      </c>
      <c r="C1226" t="s">
        <v>69</v>
      </c>
      <c r="D1226" t="s">
        <v>2552</v>
      </c>
      <c r="E1226" t="s">
        <v>2219</v>
      </c>
      <c r="F1226" s="1" t="s">
        <v>2220</v>
      </c>
      <c r="G1226" t="s">
        <v>2553</v>
      </c>
      <c r="H1226" t="s">
        <v>761</v>
      </c>
      <c r="I1226">
        <v>40</v>
      </c>
      <c r="J1226">
        <v>12855</v>
      </c>
      <c r="K1226">
        <v>12855</v>
      </c>
      <c r="L1226">
        <v>12855</v>
      </c>
      <c r="M1226">
        <v>12855</v>
      </c>
      <c r="N1226" t="s">
        <v>45</v>
      </c>
      <c r="O1226">
        <v>1</v>
      </c>
      <c r="P1226" s="3">
        <f t="shared" si="38"/>
        <v>12855</v>
      </c>
      <c r="Q1226" s="3" t="str">
        <f t="shared" si="39"/>
        <v>TEN0000212855</v>
      </c>
      <c r="R1226" t="s">
        <v>2554</v>
      </c>
      <c r="AB1226" t="s">
        <v>85</v>
      </c>
    </row>
    <row r="1227" spans="1:30" hidden="1">
      <c r="A1227" t="s">
        <v>2005</v>
      </c>
      <c r="B1227" t="s">
        <v>374</v>
      </c>
      <c r="C1227" t="s">
        <v>69</v>
      </c>
      <c r="D1227" t="s">
        <v>2555</v>
      </c>
      <c r="E1227" t="s">
        <v>2556</v>
      </c>
      <c r="F1227" s="1"/>
      <c r="G1227" t="s">
        <v>2557</v>
      </c>
      <c r="H1227" t="s">
        <v>761</v>
      </c>
      <c r="I1227">
        <v>40</v>
      </c>
      <c r="J1227">
        <v>2608.8000000000002</v>
      </c>
      <c r="K1227">
        <v>1996.76</v>
      </c>
      <c r="L1227">
        <v>2608.8000000000002</v>
      </c>
      <c r="M1227">
        <v>1996.76</v>
      </c>
      <c r="N1227" t="s">
        <v>45</v>
      </c>
      <c r="O1227">
        <v>1</v>
      </c>
      <c r="P1227" s="3">
        <f t="shared" si="38"/>
        <v>1996.76</v>
      </c>
      <c r="Q1227" s="3" t="str">
        <f t="shared" si="39"/>
        <v>UKSI2393381996.76</v>
      </c>
    </row>
    <row r="1228" spans="1:30" hidden="1">
      <c r="A1228" t="s">
        <v>2005</v>
      </c>
      <c r="B1228" t="s">
        <v>687</v>
      </c>
      <c r="C1228" t="s">
        <v>69</v>
      </c>
      <c r="D1228" t="s">
        <v>2558</v>
      </c>
      <c r="E1228" t="s">
        <v>2308</v>
      </c>
      <c r="F1228" s="1" t="s">
        <v>415</v>
      </c>
      <c r="G1228" t="s">
        <v>2559</v>
      </c>
      <c r="H1228" t="s">
        <v>761</v>
      </c>
      <c r="I1228">
        <v>40</v>
      </c>
      <c r="J1228">
        <v>42120</v>
      </c>
      <c r="K1228">
        <v>42120</v>
      </c>
      <c r="L1228">
        <v>42120</v>
      </c>
      <c r="M1228">
        <v>42120</v>
      </c>
      <c r="N1228" t="s">
        <v>45</v>
      </c>
      <c r="O1228">
        <v>1</v>
      </c>
      <c r="P1228" s="3">
        <f t="shared" si="38"/>
        <v>42120</v>
      </c>
      <c r="Q1228" s="3" t="str">
        <f t="shared" si="39"/>
        <v>USPDS16862842120</v>
      </c>
      <c r="AB1228" t="s">
        <v>85</v>
      </c>
    </row>
    <row r="1229" spans="1:30" hidden="1">
      <c r="A1229" t="s">
        <v>2005</v>
      </c>
      <c r="B1229" t="s">
        <v>364</v>
      </c>
      <c r="C1229" t="s">
        <v>69</v>
      </c>
      <c r="D1229" t="s">
        <v>2560</v>
      </c>
      <c r="E1229" t="s">
        <v>2014</v>
      </c>
      <c r="F1229" s="1" t="s">
        <v>2015</v>
      </c>
      <c r="G1229" t="s">
        <v>2561</v>
      </c>
      <c r="H1229" t="s">
        <v>780</v>
      </c>
      <c r="I1229">
        <v>39</v>
      </c>
      <c r="J1229">
        <v>365.26</v>
      </c>
      <c r="K1229">
        <v>365.26</v>
      </c>
      <c r="L1229">
        <v>365.26</v>
      </c>
      <c r="M1229">
        <v>365.26</v>
      </c>
      <c r="N1229" t="s">
        <v>45</v>
      </c>
      <c r="O1229">
        <v>1</v>
      </c>
      <c r="P1229" s="3">
        <f t="shared" si="38"/>
        <v>365.26</v>
      </c>
      <c r="Q1229" s="3" t="str">
        <f t="shared" si="39"/>
        <v>INV09830300365.26</v>
      </c>
      <c r="R1229" t="s">
        <v>1191</v>
      </c>
      <c r="S1229" t="s">
        <v>60</v>
      </c>
      <c r="T1229" t="s">
        <v>2017</v>
      </c>
      <c r="AB1229" t="s">
        <v>85</v>
      </c>
      <c r="AD1229" t="s">
        <v>2022</v>
      </c>
    </row>
    <row r="1230" spans="1:30" hidden="1">
      <c r="A1230" t="s">
        <v>2005</v>
      </c>
      <c r="B1230" t="s">
        <v>364</v>
      </c>
      <c r="C1230" t="s">
        <v>69</v>
      </c>
      <c r="D1230" t="s">
        <v>2562</v>
      </c>
      <c r="E1230" t="s">
        <v>2563</v>
      </c>
      <c r="F1230" s="1" t="s">
        <v>2564</v>
      </c>
      <c r="G1230" t="s">
        <v>2565</v>
      </c>
      <c r="H1230" t="s">
        <v>780</v>
      </c>
      <c r="I1230">
        <v>39</v>
      </c>
      <c r="J1230">
        <v>98418.75</v>
      </c>
      <c r="K1230">
        <v>98418.75</v>
      </c>
      <c r="L1230">
        <v>98418.75</v>
      </c>
      <c r="M1230">
        <v>98418.75</v>
      </c>
      <c r="N1230" t="s">
        <v>45</v>
      </c>
      <c r="O1230">
        <v>1</v>
      </c>
      <c r="P1230" s="3">
        <f t="shared" si="38"/>
        <v>98418.75</v>
      </c>
      <c r="Q1230" s="3" t="str">
        <f t="shared" si="39"/>
        <v>1057798418.75</v>
      </c>
      <c r="R1230" t="s">
        <v>2263</v>
      </c>
      <c r="AB1230" t="s">
        <v>85</v>
      </c>
    </row>
    <row r="1231" spans="1:30" s="12" customFormat="1" hidden="1">
      <c r="A1231" s="12" t="s">
        <v>2005</v>
      </c>
      <c r="B1231" s="12" t="s">
        <v>780</v>
      </c>
      <c r="C1231" s="12" t="s">
        <v>31</v>
      </c>
      <c r="D1231" s="12" t="s">
        <v>32</v>
      </c>
      <c r="E1231" s="12" t="s">
        <v>2566</v>
      </c>
      <c r="F1231" s="1"/>
      <c r="G1231" s="12" t="s">
        <v>2567</v>
      </c>
      <c r="H1231" s="12" t="s">
        <v>780</v>
      </c>
      <c r="I1231" s="12">
        <v>39</v>
      </c>
      <c r="J1231" s="12">
        <v>-464</v>
      </c>
      <c r="K1231" s="12">
        <v>-464</v>
      </c>
      <c r="L1231" s="12">
        <v>-464</v>
      </c>
      <c r="M1231" s="12">
        <v>-464</v>
      </c>
      <c r="N1231" s="12" t="s">
        <v>45</v>
      </c>
      <c r="O1231" s="12">
        <v>1</v>
      </c>
      <c r="P1231" s="3">
        <f t="shared" si="38"/>
        <v>-464</v>
      </c>
      <c r="Q1231" s="3" t="str">
        <f t="shared" si="39"/>
        <v>-464</v>
      </c>
      <c r="R1231"/>
      <c r="S1231"/>
      <c r="U1231"/>
      <c r="V1231"/>
      <c r="W1231"/>
      <c r="X1231"/>
      <c r="Y1231"/>
      <c r="Z1231"/>
      <c r="AA1231"/>
    </row>
    <row r="1232" spans="1:30" hidden="1">
      <c r="A1232" t="s">
        <v>2005</v>
      </c>
      <c r="B1232" t="s">
        <v>780</v>
      </c>
      <c r="C1232" t="s">
        <v>31</v>
      </c>
      <c r="D1232" t="s">
        <v>32</v>
      </c>
      <c r="E1232" t="s">
        <v>2568</v>
      </c>
      <c r="F1232" s="1" t="s">
        <v>2569</v>
      </c>
      <c r="G1232" t="s">
        <v>2570</v>
      </c>
      <c r="H1232" t="s">
        <v>780</v>
      </c>
      <c r="I1232">
        <v>39</v>
      </c>
      <c r="J1232">
        <v>-120.04</v>
      </c>
      <c r="K1232">
        <v>-120.04</v>
      </c>
      <c r="L1232">
        <v>-120.04</v>
      </c>
      <c r="M1232">
        <v>-120.04</v>
      </c>
      <c r="N1232" t="s">
        <v>45</v>
      </c>
      <c r="O1232">
        <v>1</v>
      </c>
      <c r="P1232" s="3">
        <f t="shared" si="38"/>
        <v>-120.04</v>
      </c>
      <c r="Q1232" s="3" t="str">
        <f t="shared" si="39"/>
        <v>-120.04</v>
      </c>
      <c r="AB1232" t="s">
        <v>40</v>
      </c>
    </row>
    <row r="1233" spans="1:30" hidden="1">
      <c r="A1233" t="s">
        <v>2005</v>
      </c>
      <c r="B1233" t="s">
        <v>374</v>
      </c>
      <c r="C1233" t="s">
        <v>69</v>
      </c>
      <c r="D1233" t="s">
        <v>2571</v>
      </c>
      <c r="E1233" t="s">
        <v>2572</v>
      </c>
      <c r="F1233" s="1" t="s">
        <v>2573</v>
      </c>
      <c r="G1233" t="s">
        <v>2574</v>
      </c>
      <c r="H1233" t="s">
        <v>816</v>
      </c>
      <c r="I1233">
        <v>38</v>
      </c>
      <c r="J1233">
        <v>83360</v>
      </c>
      <c r="K1233">
        <v>83360</v>
      </c>
      <c r="L1233">
        <v>83360</v>
      </c>
      <c r="M1233">
        <v>83360</v>
      </c>
      <c r="N1233" t="s">
        <v>45</v>
      </c>
      <c r="O1233">
        <v>1</v>
      </c>
      <c r="P1233" s="3">
        <f t="shared" si="38"/>
        <v>83360</v>
      </c>
      <c r="Q1233" s="3" t="str">
        <f t="shared" si="39"/>
        <v>70039138583360</v>
      </c>
      <c r="R1233" t="s">
        <v>395</v>
      </c>
      <c r="S1233" t="s">
        <v>60</v>
      </c>
      <c r="T1233" t="s">
        <v>102</v>
      </c>
      <c r="AB1233" t="s">
        <v>85</v>
      </c>
    </row>
    <row r="1234" spans="1:30" hidden="1">
      <c r="A1234" t="s">
        <v>2005</v>
      </c>
      <c r="B1234" t="s">
        <v>374</v>
      </c>
      <c r="C1234" t="s">
        <v>69</v>
      </c>
      <c r="D1234" t="s">
        <v>2575</v>
      </c>
      <c r="E1234" t="s">
        <v>2251</v>
      </c>
      <c r="F1234" s="1" t="s">
        <v>2251</v>
      </c>
      <c r="G1234" t="s">
        <v>2576</v>
      </c>
      <c r="H1234" t="s">
        <v>816</v>
      </c>
      <c r="I1234">
        <v>38</v>
      </c>
      <c r="J1234">
        <v>500000</v>
      </c>
      <c r="K1234">
        <v>500000</v>
      </c>
      <c r="L1234">
        <v>500000</v>
      </c>
      <c r="M1234">
        <v>500000</v>
      </c>
      <c r="N1234" t="s">
        <v>45</v>
      </c>
      <c r="O1234">
        <v>1</v>
      </c>
      <c r="P1234" s="3">
        <f t="shared" si="38"/>
        <v>500000</v>
      </c>
      <c r="Q1234" s="3" t="str">
        <f t="shared" si="39"/>
        <v>CLLIC251101500000</v>
      </c>
      <c r="R1234" t="s">
        <v>2253</v>
      </c>
      <c r="S1234" t="s">
        <v>60</v>
      </c>
      <c r="AB1234" t="s">
        <v>85</v>
      </c>
    </row>
    <row r="1235" spans="1:30" hidden="1">
      <c r="A1235" t="s">
        <v>2005</v>
      </c>
      <c r="B1235" t="s">
        <v>374</v>
      </c>
      <c r="C1235" t="s">
        <v>69</v>
      </c>
      <c r="D1235" t="s">
        <v>2577</v>
      </c>
      <c r="E1235" t="s">
        <v>2308</v>
      </c>
      <c r="F1235" s="1" t="s">
        <v>415</v>
      </c>
      <c r="G1235" t="s">
        <v>847</v>
      </c>
      <c r="H1235" t="s">
        <v>816</v>
      </c>
      <c r="I1235">
        <v>38</v>
      </c>
      <c r="J1235">
        <v>15400</v>
      </c>
      <c r="K1235">
        <v>15400</v>
      </c>
      <c r="L1235">
        <v>15400</v>
      </c>
      <c r="M1235">
        <v>15400</v>
      </c>
      <c r="N1235" t="s">
        <v>45</v>
      </c>
      <c r="O1235">
        <v>1</v>
      </c>
      <c r="P1235" s="3">
        <f t="shared" si="38"/>
        <v>15400</v>
      </c>
      <c r="Q1235" s="3" t="str">
        <f t="shared" si="39"/>
        <v>USPDS16908015400</v>
      </c>
      <c r="R1235" t="s">
        <v>202</v>
      </c>
      <c r="S1235" t="s">
        <v>60</v>
      </c>
      <c r="AB1235" t="s">
        <v>85</v>
      </c>
    </row>
    <row r="1236" spans="1:30" hidden="1">
      <c r="A1236" t="s">
        <v>2005</v>
      </c>
      <c r="B1236" t="s">
        <v>374</v>
      </c>
      <c r="C1236" t="s">
        <v>69</v>
      </c>
      <c r="D1236" t="s">
        <v>2578</v>
      </c>
      <c r="E1236" t="s">
        <v>2356</v>
      </c>
      <c r="F1236" s="1" t="s">
        <v>2357</v>
      </c>
      <c r="G1236" t="s">
        <v>2579</v>
      </c>
      <c r="H1236" t="s">
        <v>816</v>
      </c>
      <c r="I1236">
        <v>38</v>
      </c>
      <c r="J1236">
        <v>16527.57</v>
      </c>
      <c r="K1236">
        <v>16527.57</v>
      </c>
      <c r="L1236">
        <v>16527.57</v>
      </c>
      <c r="M1236">
        <v>16527.57</v>
      </c>
      <c r="N1236" t="s">
        <v>45</v>
      </c>
      <c r="O1236">
        <v>1</v>
      </c>
      <c r="P1236" s="3">
        <f t="shared" si="38"/>
        <v>16527.57</v>
      </c>
      <c r="Q1236" s="3" t="str">
        <f t="shared" si="39"/>
        <v>400649416527.57</v>
      </c>
      <c r="R1236" t="s">
        <v>2167</v>
      </c>
      <c r="S1236" t="s">
        <v>60</v>
      </c>
      <c r="AB1236" t="s">
        <v>85</v>
      </c>
    </row>
    <row r="1237" spans="1:30" hidden="1">
      <c r="A1237" t="s">
        <v>2005</v>
      </c>
      <c r="B1237" t="s">
        <v>390</v>
      </c>
      <c r="C1237" t="s">
        <v>69</v>
      </c>
      <c r="D1237" t="s">
        <v>2580</v>
      </c>
      <c r="E1237" t="s">
        <v>2581</v>
      </c>
      <c r="F1237" s="1" t="s">
        <v>2582</v>
      </c>
      <c r="G1237" t="s">
        <v>2583</v>
      </c>
      <c r="H1237" t="s">
        <v>835</v>
      </c>
      <c r="I1237">
        <v>37</v>
      </c>
      <c r="J1237">
        <v>1125</v>
      </c>
      <c r="K1237">
        <v>1125</v>
      </c>
      <c r="L1237">
        <v>1125</v>
      </c>
      <c r="M1237">
        <v>1125</v>
      </c>
      <c r="N1237" t="s">
        <v>45</v>
      </c>
      <c r="O1237">
        <v>1</v>
      </c>
      <c r="P1237" s="3">
        <f t="shared" si="38"/>
        <v>1125</v>
      </c>
      <c r="Q1237" s="3" t="str">
        <f t="shared" si="39"/>
        <v>36211125</v>
      </c>
      <c r="R1237" t="s">
        <v>186</v>
      </c>
      <c r="AB1237" t="s">
        <v>85</v>
      </c>
    </row>
    <row r="1238" spans="1:30" hidden="1">
      <c r="A1238" t="s">
        <v>2005</v>
      </c>
      <c r="B1238" t="s">
        <v>390</v>
      </c>
      <c r="C1238" t="s">
        <v>69</v>
      </c>
      <c r="D1238" t="s">
        <v>2584</v>
      </c>
      <c r="E1238" t="s">
        <v>2086</v>
      </c>
      <c r="F1238" s="1" t="s">
        <v>585</v>
      </c>
      <c r="G1238" t="s">
        <v>2415</v>
      </c>
      <c r="H1238" t="s">
        <v>835</v>
      </c>
      <c r="I1238">
        <v>37</v>
      </c>
      <c r="J1238">
        <v>160.06</v>
      </c>
      <c r="K1238">
        <v>160.06</v>
      </c>
      <c r="L1238">
        <v>160.06</v>
      </c>
      <c r="M1238">
        <v>160.06</v>
      </c>
      <c r="N1238" t="s">
        <v>45</v>
      </c>
      <c r="O1238">
        <v>1</v>
      </c>
      <c r="P1238" s="3">
        <f t="shared" si="38"/>
        <v>160.06</v>
      </c>
      <c r="Q1238" s="3" t="str">
        <f t="shared" si="39"/>
        <v>195625091 01160.06</v>
      </c>
      <c r="R1238" t="s">
        <v>758</v>
      </c>
      <c r="S1238" t="s">
        <v>60</v>
      </c>
      <c r="AB1238" t="s">
        <v>85</v>
      </c>
      <c r="AD1238" t="s">
        <v>2584</v>
      </c>
    </row>
    <row r="1239" spans="1:30" hidden="1">
      <c r="A1239" t="s">
        <v>2005</v>
      </c>
      <c r="B1239" t="s">
        <v>578</v>
      </c>
      <c r="C1239" t="s">
        <v>69</v>
      </c>
      <c r="D1239" t="s">
        <v>2585</v>
      </c>
      <c r="E1239" t="s">
        <v>2479</v>
      </c>
      <c r="F1239" s="1" t="s">
        <v>2480</v>
      </c>
      <c r="G1239" t="s">
        <v>2481</v>
      </c>
      <c r="H1239" t="s">
        <v>835</v>
      </c>
      <c r="I1239">
        <v>37</v>
      </c>
      <c r="J1239">
        <v>85.05</v>
      </c>
      <c r="K1239">
        <v>85.05</v>
      </c>
      <c r="L1239">
        <v>85.05</v>
      </c>
      <c r="M1239">
        <v>85.05</v>
      </c>
      <c r="N1239" t="s">
        <v>45</v>
      </c>
      <c r="O1239">
        <v>1</v>
      </c>
      <c r="P1239" s="3">
        <f t="shared" si="38"/>
        <v>85.05</v>
      </c>
      <c r="Q1239" s="3" t="str">
        <f t="shared" si="39"/>
        <v>251123W01498085.05</v>
      </c>
      <c r="R1239" t="s">
        <v>758</v>
      </c>
      <c r="S1239" t="s">
        <v>60</v>
      </c>
      <c r="AB1239" t="s">
        <v>85</v>
      </c>
    </row>
    <row r="1240" spans="1:30" hidden="1">
      <c r="A1240" t="s">
        <v>2005</v>
      </c>
      <c r="B1240" t="s">
        <v>687</v>
      </c>
      <c r="C1240" t="s">
        <v>69</v>
      </c>
      <c r="D1240" t="s">
        <v>2586</v>
      </c>
      <c r="E1240" t="s">
        <v>2308</v>
      </c>
      <c r="F1240" s="1" t="s">
        <v>415</v>
      </c>
      <c r="G1240" t="s">
        <v>2587</v>
      </c>
      <c r="H1240" t="s">
        <v>835</v>
      </c>
      <c r="I1240">
        <v>37</v>
      </c>
      <c r="J1240">
        <v>12000</v>
      </c>
      <c r="K1240">
        <v>12000</v>
      </c>
      <c r="L1240">
        <v>12000</v>
      </c>
      <c r="M1240">
        <v>12000</v>
      </c>
      <c r="N1240" t="s">
        <v>45</v>
      </c>
      <c r="O1240">
        <v>1</v>
      </c>
      <c r="P1240" s="3">
        <f t="shared" si="38"/>
        <v>12000</v>
      </c>
      <c r="Q1240" s="3" t="str">
        <f t="shared" si="39"/>
        <v>USPDS169306_112000</v>
      </c>
      <c r="R1240" t="s">
        <v>202</v>
      </c>
      <c r="AB1240" t="s">
        <v>85</v>
      </c>
    </row>
    <row r="1241" spans="1:30" hidden="1">
      <c r="A1241" t="s">
        <v>2005</v>
      </c>
      <c r="B1241" t="s">
        <v>534</v>
      </c>
      <c r="C1241" t="s">
        <v>69</v>
      </c>
      <c r="D1241" t="s">
        <v>2588</v>
      </c>
      <c r="E1241" t="s">
        <v>2589</v>
      </c>
      <c r="F1241" s="1" t="s">
        <v>2590</v>
      </c>
      <c r="G1241" t="s">
        <v>2591</v>
      </c>
      <c r="H1241" t="s">
        <v>851</v>
      </c>
      <c r="I1241">
        <v>36</v>
      </c>
      <c r="J1241">
        <v>45459.82</v>
      </c>
      <c r="K1241">
        <v>45459.82</v>
      </c>
      <c r="L1241">
        <v>45459.82</v>
      </c>
      <c r="M1241">
        <v>45459.82</v>
      </c>
      <c r="N1241" t="s">
        <v>45</v>
      </c>
      <c r="O1241">
        <v>1</v>
      </c>
      <c r="P1241" s="3">
        <f t="shared" si="38"/>
        <v>45459.82</v>
      </c>
      <c r="Q1241" s="3" t="str">
        <f t="shared" si="39"/>
        <v>2025-01245459.82</v>
      </c>
      <c r="R1241" t="s">
        <v>395</v>
      </c>
      <c r="S1241" t="s">
        <v>60</v>
      </c>
      <c r="T1241" t="s">
        <v>102</v>
      </c>
      <c r="AB1241" t="s">
        <v>85</v>
      </c>
    </row>
    <row r="1242" spans="1:30" hidden="1">
      <c r="A1242" t="s">
        <v>2005</v>
      </c>
      <c r="B1242" t="s">
        <v>409</v>
      </c>
      <c r="C1242" t="s">
        <v>69</v>
      </c>
      <c r="D1242" t="s">
        <v>2592</v>
      </c>
      <c r="E1242" t="s">
        <v>2086</v>
      </c>
      <c r="F1242" s="1" t="s">
        <v>585</v>
      </c>
      <c r="G1242" t="s">
        <v>2415</v>
      </c>
      <c r="H1242" t="s">
        <v>851</v>
      </c>
      <c r="I1242">
        <v>36</v>
      </c>
      <c r="J1242">
        <v>371.31</v>
      </c>
      <c r="K1242">
        <v>371.31</v>
      </c>
      <c r="L1242">
        <v>371.31</v>
      </c>
      <c r="M1242">
        <v>371.31</v>
      </c>
      <c r="N1242" t="s">
        <v>45</v>
      </c>
      <c r="O1242">
        <v>1</v>
      </c>
      <c r="P1242" s="3">
        <f t="shared" si="38"/>
        <v>371.31</v>
      </c>
      <c r="Q1242" s="3" t="str">
        <f t="shared" si="39"/>
        <v>195624799 01371.31</v>
      </c>
      <c r="R1242" t="s">
        <v>758</v>
      </c>
      <c r="S1242" t="s">
        <v>60</v>
      </c>
      <c r="AB1242" t="s">
        <v>85</v>
      </c>
      <c r="AD1242" t="s">
        <v>2592</v>
      </c>
    </row>
    <row r="1243" spans="1:30" hidden="1">
      <c r="A1243" t="s">
        <v>2005</v>
      </c>
      <c r="B1243" t="s">
        <v>409</v>
      </c>
      <c r="C1243" t="s">
        <v>69</v>
      </c>
      <c r="D1243" t="s">
        <v>2593</v>
      </c>
      <c r="E1243" t="s">
        <v>2594</v>
      </c>
      <c r="F1243" s="1" t="s">
        <v>2595</v>
      </c>
      <c r="G1243" t="s">
        <v>2596</v>
      </c>
      <c r="H1243" t="s">
        <v>851</v>
      </c>
      <c r="I1243">
        <v>36</v>
      </c>
      <c r="J1243">
        <v>1386</v>
      </c>
      <c r="K1243">
        <v>1386</v>
      </c>
      <c r="L1243">
        <v>1386</v>
      </c>
      <c r="M1243">
        <v>1386</v>
      </c>
      <c r="N1243" t="s">
        <v>45</v>
      </c>
      <c r="O1243">
        <v>1</v>
      </c>
      <c r="P1243" s="3">
        <f t="shared" si="38"/>
        <v>1386</v>
      </c>
      <c r="Q1243" s="3" t="str">
        <f t="shared" si="39"/>
        <v>845690841386</v>
      </c>
      <c r="R1243" t="s">
        <v>2167</v>
      </c>
      <c r="S1243" t="s">
        <v>60</v>
      </c>
      <c r="AB1243" t="s">
        <v>85</v>
      </c>
    </row>
    <row r="1244" spans="1:30" hidden="1">
      <c r="A1244" t="s">
        <v>2005</v>
      </c>
      <c r="B1244" t="s">
        <v>851</v>
      </c>
      <c r="C1244" t="s">
        <v>69</v>
      </c>
      <c r="D1244" t="s">
        <v>2597</v>
      </c>
      <c r="E1244" t="s">
        <v>2598</v>
      </c>
      <c r="F1244" s="1" t="s">
        <v>2599</v>
      </c>
      <c r="G1244" t="s">
        <v>2600</v>
      </c>
      <c r="H1244" t="s">
        <v>851</v>
      </c>
      <c r="I1244">
        <v>36</v>
      </c>
      <c r="J1244">
        <v>694500</v>
      </c>
      <c r="K1244">
        <v>694500</v>
      </c>
      <c r="L1244">
        <v>694500</v>
      </c>
      <c r="M1244">
        <v>694500</v>
      </c>
      <c r="N1244" t="s">
        <v>45</v>
      </c>
      <c r="O1244">
        <v>1</v>
      </c>
      <c r="P1244" s="3">
        <f t="shared" si="38"/>
        <v>694500</v>
      </c>
      <c r="Q1244" s="3" t="str">
        <f t="shared" si="39"/>
        <v>MU-/25-26/SI/281694500</v>
      </c>
      <c r="R1244" t="s">
        <v>2601</v>
      </c>
      <c r="AB1244" t="s">
        <v>85</v>
      </c>
    </row>
    <row r="1245" spans="1:30" hidden="1">
      <c r="A1245" t="s">
        <v>2005</v>
      </c>
      <c r="B1245" t="s">
        <v>420</v>
      </c>
      <c r="C1245" t="s">
        <v>69</v>
      </c>
      <c r="D1245" t="s">
        <v>2602</v>
      </c>
      <c r="E1245" t="s">
        <v>2093</v>
      </c>
      <c r="F1245" s="1" t="s">
        <v>2094</v>
      </c>
      <c r="G1245" t="s">
        <v>2603</v>
      </c>
      <c r="H1245" t="s">
        <v>854</v>
      </c>
      <c r="I1245">
        <v>35</v>
      </c>
      <c r="J1245">
        <v>1080.5999999999999</v>
      </c>
      <c r="K1245">
        <v>1080.5999999999999</v>
      </c>
      <c r="L1245">
        <v>1080.5999999999999</v>
      </c>
      <c r="M1245">
        <v>1080.5999999999999</v>
      </c>
      <c r="N1245" t="s">
        <v>45</v>
      </c>
      <c r="O1245">
        <v>1</v>
      </c>
      <c r="P1245" s="3">
        <f t="shared" si="38"/>
        <v>1080.5999999999999</v>
      </c>
      <c r="Q1245" s="3" t="str">
        <f t="shared" si="39"/>
        <v>24801080.6</v>
      </c>
      <c r="R1245" t="s">
        <v>2167</v>
      </c>
      <c r="S1245" t="s">
        <v>60</v>
      </c>
      <c r="AB1245" t="s">
        <v>85</v>
      </c>
    </row>
    <row r="1246" spans="1:30" hidden="1">
      <c r="A1246" t="s">
        <v>2005</v>
      </c>
      <c r="B1246" t="s">
        <v>854</v>
      </c>
      <c r="C1246" t="s">
        <v>69</v>
      </c>
      <c r="D1246" t="s">
        <v>2604</v>
      </c>
      <c r="E1246" t="s">
        <v>2605</v>
      </c>
      <c r="F1246" s="1" t="s">
        <v>2606</v>
      </c>
      <c r="G1246" t="s">
        <v>2607</v>
      </c>
      <c r="H1246" t="s">
        <v>854</v>
      </c>
      <c r="I1246">
        <v>35</v>
      </c>
      <c r="J1246">
        <v>4525</v>
      </c>
      <c r="K1246">
        <v>4525</v>
      </c>
      <c r="L1246">
        <v>4525</v>
      </c>
      <c r="M1246">
        <v>4525</v>
      </c>
      <c r="N1246" t="s">
        <v>45</v>
      </c>
      <c r="O1246">
        <v>1</v>
      </c>
      <c r="P1246" s="3">
        <f t="shared" si="38"/>
        <v>4525</v>
      </c>
      <c r="Q1246" s="3" t="str">
        <f t="shared" si="39"/>
        <v>656923454525</v>
      </c>
      <c r="R1246" t="s">
        <v>1784</v>
      </c>
      <c r="S1246" t="s">
        <v>60</v>
      </c>
      <c r="T1246" t="s">
        <v>102</v>
      </c>
      <c r="AB1246" t="s">
        <v>85</v>
      </c>
    </row>
    <row r="1247" spans="1:30" hidden="1">
      <c r="A1247" t="s">
        <v>2005</v>
      </c>
      <c r="B1247" t="s">
        <v>854</v>
      </c>
      <c r="C1247" t="s">
        <v>31</v>
      </c>
      <c r="D1247" t="s">
        <v>32</v>
      </c>
      <c r="E1247" t="s">
        <v>2608</v>
      </c>
      <c r="F1247" s="1" t="s">
        <v>2609</v>
      </c>
      <c r="G1247" t="s">
        <v>2610</v>
      </c>
      <c r="H1247" t="s">
        <v>854</v>
      </c>
      <c r="I1247">
        <v>35</v>
      </c>
      <c r="J1247">
        <v>-22453.279999999999</v>
      </c>
      <c r="K1247">
        <v>-22453.279999999999</v>
      </c>
      <c r="L1247">
        <v>-22453.279999999999</v>
      </c>
      <c r="M1247">
        <v>-22453.279999999999</v>
      </c>
      <c r="N1247" t="s">
        <v>45</v>
      </c>
      <c r="O1247">
        <v>1</v>
      </c>
      <c r="P1247" s="3">
        <f t="shared" si="38"/>
        <v>-22453.279999999999</v>
      </c>
      <c r="Q1247" s="3" t="str">
        <f t="shared" si="39"/>
        <v>-22453.28</v>
      </c>
      <c r="AB1247" t="s">
        <v>40</v>
      </c>
    </row>
    <row r="1248" spans="1:30" hidden="1">
      <c r="A1248" t="s">
        <v>2005</v>
      </c>
      <c r="B1248" t="s">
        <v>426</v>
      </c>
      <c r="C1248" t="s">
        <v>69</v>
      </c>
      <c r="D1248" t="s">
        <v>2611</v>
      </c>
      <c r="E1248" t="s">
        <v>2308</v>
      </c>
      <c r="F1248" s="1" t="s">
        <v>415</v>
      </c>
      <c r="G1248" t="s">
        <v>847</v>
      </c>
      <c r="H1248" t="s">
        <v>872</v>
      </c>
      <c r="I1248">
        <v>34</v>
      </c>
      <c r="J1248">
        <v>16400</v>
      </c>
      <c r="K1248">
        <v>16400</v>
      </c>
      <c r="L1248">
        <v>16400</v>
      </c>
      <c r="M1248">
        <v>16400</v>
      </c>
      <c r="N1248" t="s">
        <v>45</v>
      </c>
      <c r="O1248">
        <v>1</v>
      </c>
      <c r="P1248" s="3">
        <f t="shared" si="38"/>
        <v>16400</v>
      </c>
      <c r="Q1248" s="3" t="str">
        <f t="shared" si="39"/>
        <v>USPDS16963516400</v>
      </c>
      <c r="AB1248" t="s">
        <v>147</v>
      </c>
    </row>
    <row r="1249" spans="1:30" hidden="1">
      <c r="A1249" t="s">
        <v>2005</v>
      </c>
      <c r="B1249" t="s">
        <v>664</v>
      </c>
      <c r="C1249" t="s">
        <v>69</v>
      </c>
      <c r="D1249" t="s">
        <v>2612</v>
      </c>
      <c r="E1249" t="s">
        <v>2613</v>
      </c>
      <c r="F1249" s="1" t="s">
        <v>2614</v>
      </c>
      <c r="G1249" t="s">
        <v>2615</v>
      </c>
      <c r="H1249" t="s">
        <v>872</v>
      </c>
      <c r="I1249">
        <v>34</v>
      </c>
      <c r="J1249">
        <v>464345.69</v>
      </c>
      <c r="K1249">
        <v>100000</v>
      </c>
      <c r="L1249">
        <v>464345.69</v>
      </c>
      <c r="M1249">
        <v>100000</v>
      </c>
      <c r="N1249" t="s">
        <v>45</v>
      </c>
      <c r="O1249">
        <v>1</v>
      </c>
      <c r="P1249" s="3">
        <f t="shared" si="38"/>
        <v>100000</v>
      </c>
      <c r="Q1249" s="3" t="str">
        <f t="shared" si="39"/>
        <v>20251130NavanUSD100000</v>
      </c>
      <c r="AB1249" t="s">
        <v>147</v>
      </c>
    </row>
    <row r="1250" spans="1:30" hidden="1">
      <c r="A1250" t="s">
        <v>2005</v>
      </c>
      <c r="B1250" t="s">
        <v>439</v>
      </c>
      <c r="C1250" t="s">
        <v>69</v>
      </c>
      <c r="D1250" t="s">
        <v>2616</v>
      </c>
      <c r="E1250" t="s">
        <v>2260</v>
      </c>
      <c r="F1250" s="1" t="s">
        <v>2261</v>
      </c>
      <c r="G1250" t="s">
        <v>2617</v>
      </c>
      <c r="H1250" t="s">
        <v>895</v>
      </c>
      <c r="I1250">
        <v>33</v>
      </c>
      <c r="J1250">
        <v>18894.59</v>
      </c>
      <c r="K1250">
        <v>18894.59</v>
      </c>
      <c r="L1250">
        <v>18894.59</v>
      </c>
      <c r="M1250">
        <v>18894.59</v>
      </c>
      <c r="N1250" t="s">
        <v>45</v>
      </c>
      <c r="O1250">
        <v>1</v>
      </c>
      <c r="P1250" s="3">
        <f t="shared" si="38"/>
        <v>18894.59</v>
      </c>
      <c r="Q1250" s="3" t="str">
        <f t="shared" si="39"/>
        <v>B2048343218894.59</v>
      </c>
      <c r="R1250" t="s">
        <v>37</v>
      </c>
      <c r="S1250" t="s">
        <v>60</v>
      </c>
      <c r="T1250" t="s">
        <v>102</v>
      </c>
      <c r="AB1250" t="s">
        <v>440</v>
      </c>
    </row>
    <row r="1251" spans="1:30" hidden="1">
      <c r="A1251" t="s">
        <v>2005</v>
      </c>
      <c r="B1251" t="s">
        <v>444</v>
      </c>
      <c r="C1251" t="s">
        <v>69</v>
      </c>
      <c r="D1251" t="s">
        <v>2618</v>
      </c>
      <c r="E1251" t="s">
        <v>2619</v>
      </c>
      <c r="F1251" s="1" t="s">
        <v>2619</v>
      </c>
      <c r="G1251" t="s">
        <v>2620</v>
      </c>
      <c r="H1251" t="s">
        <v>918</v>
      </c>
      <c r="I1251">
        <v>32</v>
      </c>
      <c r="J1251">
        <v>237885.1</v>
      </c>
      <c r="K1251">
        <v>237885.1</v>
      </c>
      <c r="L1251">
        <v>237885.1</v>
      </c>
      <c r="M1251">
        <v>237885.1</v>
      </c>
      <c r="N1251" t="s">
        <v>45</v>
      </c>
      <c r="O1251">
        <v>1</v>
      </c>
      <c r="P1251" s="3">
        <f t="shared" si="38"/>
        <v>237885.1</v>
      </c>
      <c r="Q1251" s="3" t="str">
        <f t="shared" si="39"/>
        <v>105338237885.1</v>
      </c>
      <c r="R1251" t="s">
        <v>146</v>
      </c>
      <c r="S1251" t="s">
        <v>60</v>
      </c>
      <c r="T1251" t="s">
        <v>102</v>
      </c>
      <c r="AB1251" t="s">
        <v>445</v>
      </c>
    </row>
    <row r="1252" spans="1:30" hidden="1">
      <c r="A1252" t="s">
        <v>2005</v>
      </c>
      <c r="B1252" t="s">
        <v>444</v>
      </c>
      <c r="C1252" t="s">
        <v>69</v>
      </c>
      <c r="D1252" t="s">
        <v>2621</v>
      </c>
      <c r="E1252" t="s">
        <v>2622</v>
      </c>
      <c r="F1252" s="1" t="s">
        <v>2622</v>
      </c>
      <c r="G1252" t="s">
        <v>2623</v>
      </c>
      <c r="H1252" t="s">
        <v>918</v>
      </c>
      <c r="I1252">
        <v>32</v>
      </c>
      <c r="J1252">
        <v>750</v>
      </c>
      <c r="K1252">
        <v>750</v>
      </c>
      <c r="L1252">
        <v>750</v>
      </c>
      <c r="M1252">
        <v>750</v>
      </c>
      <c r="N1252" t="s">
        <v>45</v>
      </c>
      <c r="O1252">
        <v>1</v>
      </c>
      <c r="P1252" s="3">
        <f t="shared" si="38"/>
        <v>750</v>
      </c>
      <c r="Q1252" s="3" t="str">
        <f t="shared" si="39"/>
        <v>3609323750</v>
      </c>
      <c r="R1252" t="s">
        <v>318</v>
      </c>
      <c r="S1252" t="s">
        <v>60</v>
      </c>
      <c r="T1252" t="s">
        <v>102</v>
      </c>
      <c r="AB1252" t="s">
        <v>445</v>
      </c>
    </row>
    <row r="1253" spans="1:30" hidden="1">
      <c r="A1253" t="s">
        <v>2005</v>
      </c>
      <c r="B1253" t="s">
        <v>451</v>
      </c>
      <c r="C1253" t="s">
        <v>69</v>
      </c>
      <c r="D1253" t="s">
        <v>2624</v>
      </c>
      <c r="E1253" t="s">
        <v>2625</v>
      </c>
      <c r="F1253" s="1" t="s">
        <v>2626</v>
      </c>
      <c r="G1253" t="s">
        <v>2627</v>
      </c>
      <c r="H1253" t="s">
        <v>944</v>
      </c>
      <c r="I1253">
        <v>31</v>
      </c>
      <c r="J1253">
        <v>10000</v>
      </c>
      <c r="K1253">
        <v>10000</v>
      </c>
      <c r="L1253">
        <v>10000</v>
      </c>
      <c r="M1253">
        <v>10000</v>
      </c>
      <c r="N1253" t="s">
        <v>45</v>
      </c>
      <c r="O1253">
        <v>1</v>
      </c>
      <c r="P1253" s="3">
        <f t="shared" si="38"/>
        <v>10000</v>
      </c>
      <c r="Q1253" s="3" t="str">
        <f t="shared" si="39"/>
        <v>354010000</v>
      </c>
      <c r="R1253" t="s">
        <v>1296</v>
      </c>
      <c r="S1253" t="s">
        <v>60</v>
      </c>
      <c r="T1253" t="s">
        <v>102</v>
      </c>
    </row>
    <row r="1254" spans="1:30" hidden="1">
      <c r="A1254" t="s">
        <v>2005</v>
      </c>
      <c r="B1254" t="s">
        <v>664</v>
      </c>
      <c r="C1254" t="s">
        <v>2073</v>
      </c>
      <c r="D1254" t="s">
        <v>2628</v>
      </c>
      <c r="E1254" t="s">
        <v>2188</v>
      </c>
      <c r="F1254" s="1" t="s">
        <v>2189</v>
      </c>
      <c r="G1254" t="s">
        <v>2629</v>
      </c>
      <c r="H1254" t="s">
        <v>32</v>
      </c>
      <c r="I1254" t="s">
        <v>32</v>
      </c>
      <c r="J1254">
        <v>-431.3</v>
      </c>
      <c r="K1254">
        <v>-431.30304554999998</v>
      </c>
      <c r="L1254">
        <v>-371.93</v>
      </c>
      <c r="M1254">
        <v>-371.93</v>
      </c>
      <c r="N1254" t="s">
        <v>601</v>
      </c>
      <c r="O1254">
        <v>1.159635</v>
      </c>
      <c r="P1254" s="3">
        <f t="shared" si="38"/>
        <v>-371.93</v>
      </c>
      <c r="Q1254" s="3" t="str">
        <f t="shared" si="39"/>
        <v>RE1530-371.93</v>
      </c>
      <c r="AB1254" t="s">
        <v>40</v>
      </c>
    </row>
    <row r="1255" spans="1:30" hidden="1">
      <c r="A1255" t="s">
        <v>2005</v>
      </c>
      <c r="B1255" t="s">
        <v>872</v>
      </c>
      <c r="C1255" t="s">
        <v>2073</v>
      </c>
      <c r="D1255" t="s">
        <v>2630</v>
      </c>
      <c r="E1255" t="s">
        <v>2081</v>
      </c>
      <c r="F1255" s="1" t="s">
        <v>2082</v>
      </c>
      <c r="G1255" t="s">
        <v>2631</v>
      </c>
      <c r="H1255" t="s">
        <v>32</v>
      </c>
      <c r="I1255" t="s">
        <v>32</v>
      </c>
      <c r="J1255">
        <v>-5978.16</v>
      </c>
      <c r="K1255">
        <v>-5978.16</v>
      </c>
      <c r="L1255">
        <v>-5978.16</v>
      </c>
      <c r="M1255">
        <v>-5978.16</v>
      </c>
      <c r="N1255" t="s">
        <v>45</v>
      </c>
      <c r="O1255">
        <v>1</v>
      </c>
      <c r="P1255" s="3">
        <f t="shared" si="38"/>
        <v>-5978.16</v>
      </c>
      <c r="Q1255" s="3" t="str">
        <f t="shared" si="39"/>
        <v>1225-CN1-5978.16</v>
      </c>
      <c r="AB1255" t="s">
        <v>40</v>
      </c>
    </row>
    <row r="1256" spans="1:30" hidden="1">
      <c r="A1256" t="s">
        <v>2005</v>
      </c>
      <c r="B1256" t="s">
        <v>474</v>
      </c>
      <c r="C1256" t="s">
        <v>69</v>
      </c>
      <c r="D1256" t="s">
        <v>2632</v>
      </c>
      <c r="E1256" t="s">
        <v>2086</v>
      </c>
      <c r="F1256" s="1" t="s">
        <v>585</v>
      </c>
      <c r="G1256" t="s">
        <v>2415</v>
      </c>
      <c r="H1256" t="s">
        <v>968</v>
      </c>
      <c r="I1256">
        <v>30</v>
      </c>
      <c r="J1256">
        <v>5368.04</v>
      </c>
      <c r="K1256">
        <v>5368.04</v>
      </c>
      <c r="L1256">
        <v>5368.04</v>
      </c>
      <c r="M1256">
        <v>5368.04</v>
      </c>
      <c r="N1256" t="s">
        <v>45</v>
      </c>
      <c r="O1256">
        <v>1</v>
      </c>
      <c r="P1256" s="3">
        <f t="shared" si="38"/>
        <v>5368.04</v>
      </c>
      <c r="Q1256" s="3" t="str">
        <f t="shared" si="39"/>
        <v>195627118 015368.04</v>
      </c>
      <c r="R1256" t="s">
        <v>758</v>
      </c>
      <c r="S1256" t="s">
        <v>60</v>
      </c>
      <c r="AB1256" t="e">
        <v>#VALUE!</v>
      </c>
      <c r="AD1256" t="s">
        <v>2632</v>
      </c>
    </row>
    <row r="1257" spans="1:30" hidden="1">
      <c r="A1257" t="s">
        <v>2005</v>
      </c>
      <c r="B1257" t="s">
        <v>495</v>
      </c>
      <c r="C1257" t="s">
        <v>69</v>
      </c>
      <c r="D1257" t="s">
        <v>2633</v>
      </c>
      <c r="E1257" t="s">
        <v>2050</v>
      </c>
      <c r="F1257" s="1" t="s">
        <v>129</v>
      </c>
      <c r="G1257" t="s">
        <v>2634</v>
      </c>
      <c r="H1257" t="s">
        <v>995</v>
      </c>
      <c r="I1257">
        <v>29</v>
      </c>
      <c r="J1257">
        <v>3125000</v>
      </c>
      <c r="K1257">
        <v>3125000</v>
      </c>
      <c r="L1257">
        <v>3125000</v>
      </c>
      <c r="M1257">
        <v>3125000</v>
      </c>
      <c r="N1257" t="s">
        <v>45</v>
      </c>
      <c r="O1257">
        <v>1</v>
      </c>
      <c r="P1257" s="3">
        <f t="shared" si="38"/>
        <v>3125000</v>
      </c>
      <c r="Q1257" s="3" t="str">
        <f t="shared" si="39"/>
        <v>705206063125000</v>
      </c>
      <c r="R1257" t="s">
        <v>132</v>
      </c>
    </row>
    <row r="1258" spans="1:30" hidden="1">
      <c r="A1258" t="s">
        <v>2005</v>
      </c>
      <c r="B1258" t="s">
        <v>664</v>
      </c>
      <c r="C1258" t="s">
        <v>69</v>
      </c>
      <c r="D1258" t="s">
        <v>2635</v>
      </c>
      <c r="E1258" t="s">
        <v>2169</v>
      </c>
      <c r="F1258" s="1" t="s">
        <v>2170</v>
      </c>
      <c r="G1258" t="s">
        <v>663</v>
      </c>
      <c r="H1258" t="s">
        <v>995</v>
      </c>
      <c r="I1258">
        <v>29</v>
      </c>
      <c r="J1258">
        <v>922.31</v>
      </c>
      <c r="K1258">
        <v>922.31</v>
      </c>
      <c r="L1258">
        <v>922.31</v>
      </c>
      <c r="M1258">
        <v>922.31</v>
      </c>
      <c r="N1258" t="s">
        <v>45</v>
      </c>
      <c r="O1258">
        <v>1</v>
      </c>
      <c r="P1258" s="3">
        <f t="shared" si="38"/>
        <v>922.31</v>
      </c>
      <c r="Q1258" s="3" t="str">
        <f t="shared" si="39"/>
        <v>794051922.31</v>
      </c>
    </row>
    <row r="1259" spans="1:30" hidden="1">
      <c r="A1259" t="s">
        <v>2005</v>
      </c>
      <c r="B1259" t="s">
        <v>664</v>
      </c>
      <c r="C1259" t="s">
        <v>69</v>
      </c>
      <c r="D1259" t="s">
        <v>2636</v>
      </c>
      <c r="E1259" t="s">
        <v>2169</v>
      </c>
      <c r="F1259" s="1" t="s">
        <v>2170</v>
      </c>
      <c r="G1259" t="s">
        <v>2637</v>
      </c>
      <c r="H1259" t="s">
        <v>995</v>
      </c>
      <c r="I1259">
        <v>29</v>
      </c>
      <c r="J1259">
        <v>4446.2</v>
      </c>
      <c r="K1259">
        <v>4446.2</v>
      </c>
      <c r="L1259">
        <v>4446.2</v>
      </c>
      <c r="M1259">
        <v>4446.2</v>
      </c>
      <c r="N1259" t="s">
        <v>45</v>
      </c>
      <c r="O1259">
        <v>1</v>
      </c>
      <c r="P1259" s="3">
        <f t="shared" si="38"/>
        <v>4446.2</v>
      </c>
      <c r="Q1259" s="3" t="str">
        <f t="shared" si="39"/>
        <v>7947554446.2</v>
      </c>
    </row>
    <row r="1260" spans="1:30" hidden="1">
      <c r="A1260" t="s">
        <v>2005</v>
      </c>
      <c r="B1260" t="s">
        <v>664</v>
      </c>
      <c r="C1260" t="s">
        <v>69</v>
      </c>
      <c r="D1260" t="s">
        <v>2638</v>
      </c>
      <c r="E1260" t="s">
        <v>2169</v>
      </c>
      <c r="F1260" s="1" t="s">
        <v>2170</v>
      </c>
      <c r="G1260" t="s">
        <v>2171</v>
      </c>
      <c r="H1260" t="s">
        <v>995</v>
      </c>
      <c r="I1260">
        <v>29</v>
      </c>
      <c r="J1260">
        <v>9832.4500000000007</v>
      </c>
      <c r="K1260">
        <v>9832.4500000000007</v>
      </c>
      <c r="L1260">
        <v>9832.4500000000007</v>
      </c>
      <c r="M1260">
        <v>9832.4500000000007</v>
      </c>
      <c r="N1260" t="s">
        <v>45</v>
      </c>
      <c r="O1260">
        <v>1</v>
      </c>
      <c r="P1260" s="3">
        <f t="shared" si="38"/>
        <v>9832.4500000000007</v>
      </c>
      <c r="Q1260" s="3" t="str">
        <f t="shared" si="39"/>
        <v>7972599832.45</v>
      </c>
    </row>
    <row r="1261" spans="1:30" hidden="1">
      <c r="A1261" t="s">
        <v>2005</v>
      </c>
      <c r="B1261" t="s">
        <v>664</v>
      </c>
      <c r="C1261" t="s">
        <v>69</v>
      </c>
      <c r="D1261" t="s">
        <v>2639</v>
      </c>
      <c r="E1261" t="s">
        <v>2169</v>
      </c>
      <c r="F1261" s="1" t="s">
        <v>2170</v>
      </c>
      <c r="G1261" t="s">
        <v>2171</v>
      </c>
      <c r="H1261" t="s">
        <v>995</v>
      </c>
      <c r="I1261">
        <v>29</v>
      </c>
      <c r="J1261">
        <v>9832.4500000000007</v>
      </c>
      <c r="K1261">
        <v>9832.4500000000007</v>
      </c>
      <c r="L1261">
        <v>9832.4500000000007</v>
      </c>
      <c r="M1261">
        <v>9832.4500000000007</v>
      </c>
      <c r="N1261" t="s">
        <v>45</v>
      </c>
      <c r="O1261">
        <v>1</v>
      </c>
      <c r="P1261" s="3">
        <f t="shared" si="38"/>
        <v>9832.4500000000007</v>
      </c>
      <c r="Q1261" s="3" t="str">
        <f t="shared" si="39"/>
        <v>7972689832.45</v>
      </c>
    </row>
    <row r="1262" spans="1:30" hidden="1">
      <c r="A1262" t="s">
        <v>2005</v>
      </c>
      <c r="B1262" t="s">
        <v>664</v>
      </c>
      <c r="C1262" t="s">
        <v>69</v>
      </c>
      <c r="D1262" t="s">
        <v>2640</v>
      </c>
      <c r="E1262" t="s">
        <v>2169</v>
      </c>
      <c r="F1262" s="1" t="s">
        <v>2170</v>
      </c>
      <c r="G1262" t="s">
        <v>2641</v>
      </c>
      <c r="H1262" t="s">
        <v>995</v>
      </c>
      <c r="I1262">
        <v>29</v>
      </c>
      <c r="J1262">
        <v>6011.4</v>
      </c>
      <c r="K1262">
        <v>6011.4</v>
      </c>
      <c r="L1262">
        <v>6011.4</v>
      </c>
      <c r="M1262">
        <v>6011.4</v>
      </c>
      <c r="N1262" t="s">
        <v>45</v>
      </c>
      <c r="O1262">
        <v>1</v>
      </c>
      <c r="P1262" s="3">
        <f t="shared" si="38"/>
        <v>6011.4</v>
      </c>
      <c r="Q1262" s="3" t="str">
        <f t="shared" si="39"/>
        <v>7983826011.4</v>
      </c>
    </row>
    <row r="1263" spans="1:30" hidden="1">
      <c r="A1263" t="s">
        <v>2005</v>
      </c>
      <c r="B1263" t="s">
        <v>664</v>
      </c>
      <c r="C1263" t="s">
        <v>69</v>
      </c>
      <c r="D1263" t="s">
        <v>2642</v>
      </c>
      <c r="E1263" t="s">
        <v>2169</v>
      </c>
      <c r="F1263" s="1" t="s">
        <v>2170</v>
      </c>
      <c r="G1263" t="s">
        <v>2643</v>
      </c>
      <c r="H1263" t="s">
        <v>995</v>
      </c>
      <c r="I1263">
        <v>29</v>
      </c>
      <c r="J1263">
        <v>3111.05</v>
      </c>
      <c r="K1263">
        <v>3111.05</v>
      </c>
      <c r="L1263">
        <v>3111.05</v>
      </c>
      <c r="M1263">
        <v>3111.05</v>
      </c>
      <c r="N1263" t="s">
        <v>45</v>
      </c>
      <c r="O1263">
        <v>1</v>
      </c>
      <c r="P1263" s="3">
        <f t="shared" si="38"/>
        <v>3111.05</v>
      </c>
      <c r="Q1263" s="3" t="str">
        <f t="shared" si="39"/>
        <v>7976833111.05</v>
      </c>
    </row>
    <row r="1264" spans="1:30" hidden="1">
      <c r="A1264" t="s">
        <v>2005</v>
      </c>
      <c r="B1264" t="s">
        <v>995</v>
      </c>
      <c r="C1264" t="s">
        <v>69</v>
      </c>
      <c r="D1264" t="s">
        <v>2644</v>
      </c>
      <c r="E1264" t="s">
        <v>2230</v>
      </c>
      <c r="F1264" s="1" t="s">
        <v>2231</v>
      </c>
      <c r="G1264" t="s">
        <v>2645</v>
      </c>
      <c r="H1264" t="s">
        <v>995</v>
      </c>
      <c r="I1264">
        <v>29</v>
      </c>
      <c r="J1264">
        <v>3053.69</v>
      </c>
      <c r="K1264">
        <v>3053.6913455099998</v>
      </c>
      <c r="L1264">
        <v>2598.5700000000002</v>
      </c>
      <c r="M1264">
        <v>2598.5700000000002</v>
      </c>
      <c r="N1264" t="s">
        <v>601</v>
      </c>
      <c r="O1264">
        <v>1.175143</v>
      </c>
      <c r="P1264" s="3">
        <f t="shared" si="38"/>
        <v>2598.5700000000002</v>
      </c>
      <c r="Q1264" s="3" t="str">
        <f t="shared" si="39"/>
        <v>IESI3002052598.57</v>
      </c>
      <c r="R1264" t="s">
        <v>37</v>
      </c>
    </row>
    <row r="1265" spans="1:30" hidden="1">
      <c r="A1265" t="s">
        <v>2005</v>
      </c>
      <c r="B1265" t="s">
        <v>995</v>
      </c>
      <c r="C1265" t="s">
        <v>31</v>
      </c>
      <c r="D1265" t="s">
        <v>32</v>
      </c>
      <c r="E1265" t="s">
        <v>2646</v>
      </c>
      <c r="F1265" s="1" t="s">
        <v>2647</v>
      </c>
      <c r="G1265" t="s">
        <v>2648</v>
      </c>
      <c r="H1265" t="s">
        <v>995</v>
      </c>
      <c r="I1265">
        <v>29</v>
      </c>
      <c r="J1265">
        <v>-286.2</v>
      </c>
      <c r="K1265">
        <v>-286.2</v>
      </c>
      <c r="L1265">
        <v>-286.2</v>
      </c>
      <c r="M1265">
        <v>-286.2</v>
      </c>
      <c r="N1265" t="s">
        <v>45</v>
      </c>
      <c r="O1265">
        <v>1</v>
      </c>
      <c r="P1265" s="3">
        <f t="shared" si="38"/>
        <v>-286.2</v>
      </c>
      <c r="Q1265" s="3" t="str">
        <f t="shared" si="39"/>
        <v>-286.2</v>
      </c>
      <c r="AB1265" t="s">
        <v>40</v>
      </c>
    </row>
    <row r="1266" spans="1:30" hidden="1">
      <c r="A1266" t="s">
        <v>2005</v>
      </c>
      <c r="B1266" t="s">
        <v>995</v>
      </c>
      <c r="C1266" t="s">
        <v>69</v>
      </c>
      <c r="D1266" t="s">
        <v>2649</v>
      </c>
      <c r="E1266" t="s">
        <v>2098</v>
      </c>
      <c r="F1266" s="1"/>
      <c r="G1266" t="s">
        <v>2650</v>
      </c>
      <c r="H1266" t="s">
        <v>995</v>
      </c>
      <c r="I1266">
        <v>29</v>
      </c>
      <c r="J1266">
        <v>12420</v>
      </c>
      <c r="K1266">
        <v>12420</v>
      </c>
      <c r="L1266">
        <v>12420</v>
      </c>
      <c r="M1266">
        <v>12420</v>
      </c>
      <c r="N1266" t="s">
        <v>45</v>
      </c>
      <c r="O1266">
        <v>1</v>
      </c>
      <c r="P1266" s="3">
        <f t="shared" si="38"/>
        <v>12420</v>
      </c>
      <c r="Q1266" s="3" t="str">
        <f t="shared" si="39"/>
        <v>SIN06967612420</v>
      </c>
    </row>
    <row r="1267" spans="1:30" hidden="1">
      <c r="A1267" t="s">
        <v>2005</v>
      </c>
      <c r="B1267" t="s">
        <v>995</v>
      </c>
      <c r="C1267" t="s">
        <v>69</v>
      </c>
      <c r="D1267" t="s">
        <v>2651</v>
      </c>
      <c r="E1267" t="s">
        <v>2098</v>
      </c>
      <c r="F1267" s="1"/>
      <c r="G1267" t="s">
        <v>2652</v>
      </c>
      <c r="H1267" t="s">
        <v>995</v>
      </c>
      <c r="I1267">
        <v>29</v>
      </c>
      <c r="J1267">
        <v>832.5</v>
      </c>
      <c r="K1267">
        <v>832.5</v>
      </c>
      <c r="L1267">
        <v>832.5</v>
      </c>
      <c r="M1267">
        <v>832.5</v>
      </c>
      <c r="N1267" t="s">
        <v>45</v>
      </c>
      <c r="O1267">
        <v>1</v>
      </c>
      <c r="P1267" s="3">
        <f t="shared" si="38"/>
        <v>832.5</v>
      </c>
      <c r="Q1267" s="3" t="str">
        <f t="shared" si="39"/>
        <v>SIN069675832.5</v>
      </c>
    </row>
    <row r="1268" spans="1:30" hidden="1">
      <c r="A1268" t="s">
        <v>2005</v>
      </c>
      <c r="B1268" t="s">
        <v>515</v>
      </c>
      <c r="C1268" t="s">
        <v>69</v>
      </c>
      <c r="D1268" t="s">
        <v>2653</v>
      </c>
      <c r="E1268" t="s">
        <v>2188</v>
      </c>
      <c r="F1268" s="1" t="s">
        <v>2189</v>
      </c>
      <c r="G1268" t="s">
        <v>2654</v>
      </c>
      <c r="H1268" t="s">
        <v>1028</v>
      </c>
      <c r="I1268">
        <v>27</v>
      </c>
      <c r="J1268">
        <v>9854.0400000000009</v>
      </c>
      <c r="K1268">
        <v>9854.0414999999994</v>
      </c>
      <c r="L1268">
        <v>8500</v>
      </c>
      <c r="M1268">
        <v>8500</v>
      </c>
      <c r="N1268" t="s">
        <v>601</v>
      </c>
      <c r="O1268">
        <v>1.1592990000000001</v>
      </c>
      <c r="P1268" s="3">
        <f t="shared" si="38"/>
        <v>8500</v>
      </c>
      <c r="Q1268" s="3" t="str">
        <f t="shared" si="39"/>
        <v>25032818500</v>
      </c>
      <c r="R1268" t="s">
        <v>285</v>
      </c>
    </row>
    <row r="1269" spans="1:30" hidden="1">
      <c r="A1269" t="s">
        <v>2005</v>
      </c>
      <c r="B1269" t="s">
        <v>515</v>
      </c>
      <c r="C1269" t="s">
        <v>69</v>
      </c>
      <c r="D1269" t="s">
        <v>2655</v>
      </c>
      <c r="E1269" t="s">
        <v>2014</v>
      </c>
      <c r="F1269" s="1" t="s">
        <v>2015</v>
      </c>
      <c r="G1269" t="s">
        <v>2656</v>
      </c>
      <c r="H1269" t="s">
        <v>1028</v>
      </c>
      <c r="I1269">
        <v>27</v>
      </c>
      <c r="J1269">
        <v>362.33</v>
      </c>
      <c r="K1269">
        <v>362.33</v>
      </c>
      <c r="L1269">
        <v>362.33</v>
      </c>
      <c r="M1269">
        <v>362.33</v>
      </c>
      <c r="N1269" t="s">
        <v>45</v>
      </c>
      <c r="O1269">
        <v>1</v>
      </c>
      <c r="P1269" s="3">
        <f t="shared" si="38"/>
        <v>362.33</v>
      </c>
      <c r="Q1269" s="3" t="str">
        <f t="shared" si="39"/>
        <v>INV09852727362.33</v>
      </c>
      <c r="R1269" t="s">
        <v>1191</v>
      </c>
      <c r="S1269" t="s">
        <v>60</v>
      </c>
      <c r="T1269" t="s">
        <v>2017</v>
      </c>
      <c r="AB1269" t="e">
        <v>#VALUE!</v>
      </c>
      <c r="AD1269" t="s">
        <v>2022</v>
      </c>
    </row>
    <row r="1270" spans="1:30" hidden="1">
      <c r="A1270" t="s">
        <v>2005</v>
      </c>
      <c r="B1270" t="s">
        <v>515</v>
      </c>
      <c r="C1270" t="s">
        <v>69</v>
      </c>
      <c r="D1270" t="s">
        <v>2657</v>
      </c>
      <c r="E1270" t="s">
        <v>2296</v>
      </c>
      <c r="F1270" s="1" t="s">
        <v>2297</v>
      </c>
      <c r="G1270" t="s">
        <v>2658</v>
      </c>
      <c r="H1270" t="s">
        <v>1028</v>
      </c>
      <c r="I1270">
        <v>27</v>
      </c>
      <c r="J1270">
        <v>23000</v>
      </c>
      <c r="K1270">
        <v>23000</v>
      </c>
      <c r="L1270">
        <v>23000</v>
      </c>
      <c r="M1270">
        <v>23000</v>
      </c>
      <c r="N1270" t="s">
        <v>45</v>
      </c>
      <c r="O1270">
        <v>1</v>
      </c>
      <c r="P1270" s="3">
        <f t="shared" ref="P1270:P1333" si="40">IF(N1270="CAD",$P$1,1)*M1270</f>
        <v>23000</v>
      </c>
      <c r="Q1270" s="3" t="str">
        <f t="shared" ref="Q1270:Q1333" si="41">D1270&amp;M1270</f>
        <v>415923000</v>
      </c>
      <c r="R1270" t="s">
        <v>2299</v>
      </c>
      <c r="S1270" t="s">
        <v>60</v>
      </c>
      <c r="T1270" t="s">
        <v>102</v>
      </c>
    </row>
    <row r="1271" spans="1:30" hidden="1">
      <c r="A1271" t="s">
        <v>2005</v>
      </c>
      <c r="B1271" t="s">
        <v>515</v>
      </c>
      <c r="C1271" t="s">
        <v>69</v>
      </c>
      <c r="D1271" t="s">
        <v>2659</v>
      </c>
      <c r="E1271" t="s">
        <v>2098</v>
      </c>
      <c r="F1271" s="1" t="s">
        <v>2099</v>
      </c>
      <c r="G1271" t="s">
        <v>2100</v>
      </c>
      <c r="H1271" t="s">
        <v>1028</v>
      </c>
      <c r="I1271">
        <v>27</v>
      </c>
      <c r="J1271">
        <v>11535</v>
      </c>
      <c r="K1271">
        <v>11535</v>
      </c>
      <c r="L1271">
        <v>11535</v>
      </c>
      <c r="M1271">
        <v>11535</v>
      </c>
      <c r="N1271" t="s">
        <v>45</v>
      </c>
      <c r="O1271">
        <v>1</v>
      </c>
      <c r="P1271" s="3">
        <f t="shared" si="40"/>
        <v>11535</v>
      </c>
      <c r="Q1271" s="3" t="str">
        <f t="shared" si="41"/>
        <v>SIN06911511535</v>
      </c>
    </row>
    <row r="1272" spans="1:30" hidden="1">
      <c r="A1272" t="s">
        <v>2005</v>
      </c>
      <c r="B1272" t="s">
        <v>515</v>
      </c>
      <c r="C1272" t="s">
        <v>69</v>
      </c>
      <c r="D1272" t="s">
        <v>2660</v>
      </c>
      <c r="E1272" t="s">
        <v>2098</v>
      </c>
      <c r="F1272" s="1" t="s">
        <v>2099</v>
      </c>
      <c r="G1272" t="s">
        <v>2277</v>
      </c>
      <c r="H1272" t="s">
        <v>1028</v>
      </c>
      <c r="I1272">
        <v>27</v>
      </c>
      <c r="J1272">
        <v>832.5</v>
      </c>
      <c r="K1272">
        <v>832.5</v>
      </c>
      <c r="L1272">
        <v>832.5</v>
      </c>
      <c r="M1272">
        <v>832.5</v>
      </c>
      <c r="N1272" t="s">
        <v>45</v>
      </c>
      <c r="O1272">
        <v>1</v>
      </c>
      <c r="P1272" s="3">
        <f t="shared" si="40"/>
        <v>832.5</v>
      </c>
      <c r="Q1272" s="3" t="str">
        <f t="shared" si="41"/>
        <v>SIN069120832.5</v>
      </c>
    </row>
    <row r="1273" spans="1:30" hidden="1">
      <c r="A1273" t="s">
        <v>2005</v>
      </c>
      <c r="B1273" t="s">
        <v>710</v>
      </c>
      <c r="C1273" t="s">
        <v>69</v>
      </c>
      <c r="D1273" t="s">
        <v>2661</v>
      </c>
      <c r="E1273" t="s">
        <v>2662</v>
      </c>
      <c r="F1273" s="1" t="s">
        <v>2663</v>
      </c>
      <c r="G1273" t="s">
        <v>2664</v>
      </c>
      <c r="H1273" t="s">
        <v>1028</v>
      </c>
      <c r="I1273">
        <v>27</v>
      </c>
      <c r="J1273">
        <v>6825</v>
      </c>
      <c r="K1273">
        <v>6825</v>
      </c>
      <c r="L1273">
        <v>6825</v>
      </c>
      <c r="M1273">
        <v>6825</v>
      </c>
      <c r="N1273" t="s">
        <v>45</v>
      </c>
      <c r="O1273">
        <v>1</v>
      </c>
      <c r="P1273" s="3">
        <f t="shared" si="40"/>
        <v>6825</v>
      </c>
      <c r="Q1273" s="3" t="str">
        <f t="shared" si="41"/>
        <v>00002556825</v>
      </c>
      <c r="R1273" t="s">
        <v>2665</v>
      </c>
    </row>
    <row r="1274" spans="1:30" hidden="1">
      <c r="A1274" t="s">
        <v>2005</v>
      </c>
      <c r="B1274" t="s">
        <v>755</v>
      </c>
      <c r="C1274" t="s">
        <v>69</v>
      </c>
      <c r="D1274" t="s">
        <v>2666</v>
      </c>
      <c r="E1274" t="s">
        <v>2086</v>
      </c>
      <c r="F1274" s="1" t="s">
        <v>585</v>
      </c>
      <c r="G1274" t="s">
        <v>2415</v>
      </c>
      <c r="H1274" t="s">
        <v>1055</v>
      </c>
      <c r="I1274">
        <v>26</v>
      </c>
      <c r="J1274">
        <v>153.83000000000001</v>
      </c>
      <c r="K1274">
        <v>153.83000000000001</v>
      </c>
      <c r="L1274">
        <v>153.83000000000001</v>
      </c>
      <c r="M1274">
        <v>153.83000000000001</v>
      </c>
      <c r="N1274" t="s">
        <v>45</v>
      </c>
      <c r="O1274">
        <v>1</v>
      </c>
      <c r="P1274" s="3">
        <f t="shared" si="40"/>
        <v>153.83000000000001</v>
      </c>
      <c r="Q1274" s="3" t="str">
        <f t="shared" si="41"/>
        <v>195624777 01153.83</v>
      </c>
      <c r="R1274" t="s">
        <v>758</v>
      </c>
      <c r="S1274" t="s">
        <v>60</v>
      </c>
      <c r="AB1274" t="e">
        <v>#VALUE!</v>
      </c>
      <c r="AD1274" t="s">
        <v>2666</v>
      </c>
    </row>
    <row r="1275" spans="1:30" hidden="1">
      <c r="A1275" t="s">
        <v>2005</v>
      </c>
      <c r="B1275" t="s">
        <v>755</v>
      </c>
      <c r="C1275" t="s">
        <v>69</v>
      </c>
      <c r="D1275" t="s">
        <v>2667</v>
      </c>
      <c r="E1275" t="s">
        <v>2188</v>
      </c>
      <c r="F1275" s="1" t="s">
        <v>2189</v>
      </c>
      <c r="G1275" t="s">
        <v>2668</v>
      </c>
      <c r="H1275" t="s">
        <v>1055</v>
      </c>
      <c r="I1275">
        <v>26</v>
      </c>
      <c r="J1275">
        <v>431.18</v>
      </c>
      <c r="K1275">
        <v>431.17807706999997</v>
      </c>
      <c r="L1275">
        <v>371.93</v>
      </c>
      <c r="M1275">
        <v>371.93</v>
      </c>
      <c r="N1275" t="s">
        <v>601</v>
      </c>
      <c r="O1275">
        <v>1.1592990000000001</v>
      </c>
      <c r="P1275" s="3">
        <f t="shared" si="40"/>
        <v>371.93</v>
      </c>
      <c r="Q1275" s="3" t="str">
        <f t="shared" si="41"/>
        <v>2503374371.93</v>
      </c>
      <c r="R1275" t="s">
        <v>285</v>
      </c>
    </row>
    <row r="1276" spans="1:30" hidden="1">
      <c r="A1276" t="s">
        <v>2005</v>
      </c>
      <c r="B1276" t="s">
        <v>527</v>
      </c>
      <c r="C1276" t="s">
        <v>69</v>
      </c>
      <c r="D1276" t="s">
        <v>2669</v>
      </c>
      <c r="E1276" t="s">
        <v>2024</v>
      </c>
      <c r="F1276" s="1" t="s">
        <v>2025</v>
      </c>
      <c r="G1276" t="s">
        <v>2670</v>
      </c>
      <c r="H1276" t="s">
        <v>1072</v>
      </c>
      <c r="I1276">
        <v>25</v>
      </c>
      <c r="J1276">
        <v>57</v>
      </c>
      <c r="K1276">
        <v>57</v>
      </c>
      <c r="L1276">
        <v>57</v>
      </c>
      <c r="M1276">
        <v>57</v>
      </c>
      <c r="N1276" t="s">
        <v>45</v>
      </c>
      <c r="O1276">
        <v>1</v>
      </c>
      <c r="P1276" s="3">
        <f t="shared" si="40"/>
        <v>57</v>
      </c>
      <c r="Q1276" s="3" t="str">
        <f t="shared" si="41"/>
        <v>63674057</v>
      </c>
      <c r="R1276" t="s">
        <v>2167</v>
      </c>
      <c r="S1276" t="s">
        <v>60</v>
      </c>
    </row>
    <row r="1277" spans="1:30" hidden="1">
      <c r="A1277" t="s">
        <v>2005</v>
      </c>
      <c r="B1277" t="s">
        <v>687</v>
      </c>
      <c r="C1277" t="s">
        <v>69</v>
      </c>
      <c r="D1277" t="s">
        <v>2671</v>
      </c>
      <c r="E1277" t="s">
        <v>2230</v>
      </c>
      <c r="F1277" s="1" t="s">
        <v>2231</v>
      </c>
      <c r="G1277" t="s">
        <v>2672</v>
      </c>
      <c r="H1277" t="s">
        <v>1072</v>
      </c>
      <c r="I1277">
        <v>25</v>
      </c>
      <c r="J1277">
        <v>29768.79</v>
      </c>
      <c r="K1277">
        <v>29768.790096799999</v>
      </c>
      <c r="L1277">
        <v>25635.7</v>
      </c>
      <c r="M1277">
        <v>25635.7</v>
      </c>
      <c r="N1277" t="s">
        <v>601</v>
      </c>
      <c r="O1277">
        <v>1.161224</v>
      </c>
      <c r="P1277" s="3">
        <f t="shared" si="40"/>
        <v>25635.7</v>
      </c>
      <c r="Q1277" s="3" t="str">
        <f t="shared" si="41"/>
        <v>IESI28754325635.7</v>
      </c>
    </row>
    <row r="1278" spans="1:30" hidden="1">
      <c r="A1278" t="s">
        <v>2005</v>
      </c>
      <c r="B1278" t="s">
        <v>1072</v>
      </c>
      <c r="C1278" t="s">
        <v>69</v>
      </c>
      <c r="D1278" t="s">
        <v>2673</v>
      </c>
      <c r="E1278" t="s">
        <v>2230</v>
      </c>
      <c r="F1278" s="1" t="s">
        <v>2231</v>
      </c>
      <c r="G1278" t="s">
        <v>2674</v>
      </c>
      <c r="H1278" t="s">
        <v>1072</v>
      </c>
      <c r="I1278">
        <v>25</v>
      </c>
      <c r="J1278">
        <v>3016.13</v>
      </c>
      <c r="K1278">
        <v>3016.12665978</v>
      </c>
      <c r="L1278">
        <v>2575.17</v>
      </c>
      <c r="M1278">
        <v>2575.17</v>
      </c>
      <c r="N1278" t="s">
        <v>601</v>
      </c>
      <c r="O1278">
        <v>1.1712340000000001</v>
      </c>
      <c r="P1278" s="3">
        <f t="shared" si="40"/>
        <v>2575.17</v>
      </c>
      <c r="Q1278" s="3" t="str">
        <f t="shared" si="41"/>
        <v>IESI3039482575.17</v>
      </c>
      <c r="R1278" t="s">
        <v>37</v>
      </c>
    </row>
    <row r="1279" spans="1:30" hidden="1">
      <c r="A1279" t="s">
        <v>2005</v>
      </c>
      <c r="B1279" t="s">
        <v>537</v>
      </c>
      <c r="C1279" t="s">
        <v>69</v>
      </c>
      <c r="D1279" t="s">
        <v>2675</v>
      </c>
      <c r="E1279" t="s">
        <v>2317</v>
      </c>
      <c r="F1279" s="1" t="s">
        <v>2318</v>
      </c>
      <c r="G1279" t="s">
        <v>2676</v>
      </c>
      <c r="H1279" t="s">
        <v>1106</v>
      </c>
      <c r="I1279">
        <v>24</v>
      </c>
      <c r="J1279">
        <v>563</v>
      </c>
      <c r="K1279">
        <v>563</v>
      </c>
      <c r="L1279">
        <v>563</v>
      </c>
      <c r="M1279">
        <v>563</v>
      </c>
      <c r="N1279" t="s">
        <v>45</v>
      </c>
      <c r="O1279">
        <v>1</v>
      </c>
      <c r="P1279" s="3">
        <f t="shared" si="40"/>
        <v>563</v>
      </c>
      <c r="Q1279" s="3" t="str">
        <f t="shared" si="41"/>
        <v>2399550181563</v>
      </c>
      <c r="R1279" t="s">
        <v>37</v>
      </c>
      <c r="S1279" t="s">
        <v>60</v>
      </c>
    </row>
    <row r="1280" spans="1:30" hidden="1">
      <c r="A1280" t="s">
        <v>2005</v>
      </c>
      <c r="B1280" t="s">
        <v>537</v>
      </c>
      <c r="C1280" t="s">
        <v>69</v>
      </c>
      <c r="D1280" t="s">
        <v>2677</v>
      </c>
      <c r="E1280" t="s">
        <v>2255</v>
      </c>
      <c r="F1280" s="1" t="s">
        <v>2256</v>
      </c>
      <c r="G1280" t="s">
        <v>2257</v>
      </c>
      <c r="H1280" t="s">
        <v>1106</v>
      </c>
      <c r="I1280">
        <v>24</v>
      </c>
      <c r="J1280">
        <v>477.72</v>
      </c>
      <c r="K1280">
        <v>477.72</v>
      </c>
      <c r="L1280">
        <v>477.72</v>
      </c>
      <c r="M1280">
        <v>477.72</v>
      </c>
      <c r="N1280" t="s">
        <v>45</v>
      </c>
      <c r="O1280">
        <v>1</v>
      </c>
      <c r="P1280" s="3">
        <f t="shared" si="40"/>
        <v>477.72</v>
      </c>
      <c r="Q1280" s="3" t="str">
        <f t="shared" si="41"/>
        <v>2466660477.72</v>
      </c>
      <c r="R1280" t="s">
        <v>318</v>
      </c>
      <c r="S1280" t="s">
        <v>60</v>
      </c>
    </row>
    <row r="1281" spans="1:30" hidden="1">
      <c r="A1281" t="s">
        <v>2005</v>
      </c>
      <c r="B1281" t="s">
        <v>537</v>
      </c>
      <c r="C1281" t="s">
        <v>69</v>
      </c>
      <c r="D1281" t="s">
        <v>2678</v>
      </c>
      <c r="E1281" t="s">
        <v>2679</v>
      </c>
      <c r="F1281" s="1" t="s">
        <v>2679</v>
      </c>
      <c r="G1281" t="s">
        <v>2680</v>
      </c>
      <c r="H1281" t="s">
        <v>1106</v>
      </c>
      <c r="I1281">
        <v>24</v>
      </c>
      <c r="J1281">
        <v>265945.61</v>
      </c>
      <c r="K1281">
        <v>265945.61</v>
      </c>
      <c r="L1281">
        <v>265945.61</v>
      </c>
      <c r="M1281">
        <v>265945.61</v>
      </c>
      <c r="N1281" t="s">
        <v>45</v>
      </c>
      <c r="O1281">
        <v>1</v>
      </c>
      <c r="P1281" s="3">
        <f t="shared" si="40"/>
        <v>265945.61</v>
      </c>
      <c r="Q1281" s="3" t="str">
        <f t="shared" si="41"/>
        <v>10112955650265945.61</v>
      </c>
      <c r="R1281" t="s">
        <v>2181</v>
      </c>
    </row>
    <row r="1282" spans="1:30" hidden="1">
      <c r="A1282" t="s">
        <v>2005</v>
      </c>
      <c r="B1282" t="s">
        <v>687</v>
      </c>
      <c r="C1282" t="s">
        <v>69</v>
      </c>
      <c r="D1282" t="s">
        <v>2681</v>
      </c>
      <c r="E1282" t="s">
        <v>2230</v>
      </c>
      <c r="F1282" s="1" t="s">
        <v>2231</v>
      </c>
      <c r="G1282" t="s">
        <v>2672</v>
      </c>
      <c r="H1282" t="s">
        <v>1106</v>
      </c>
      <c r="I1282">
        <v>24</v>
      </c>
      <c r="J1282">
        <v>3052.36</v>
      </c>
      <c r="K1282">
        <v>3052.3585696800001</v>
      </c>
      <c r="L1282">
        <v>2628.57</v>
      </c>
      <c r="M1282">
        <v>2628.57</v>
      </c>
      <c r="N1282" t="s">
        <v>601</v>
      </c>
      <c r="O1282">
        <v>1.161224</v>
      </c>
      <c r="P1282" s="3">
        <f t="shared" si="40"/>
        <v>2628.57</v>
      </c>
      <c r="Q1282" s="3" t="str">
        <f t="shared" si="41"/>
        <v>IESI2852222628.57</v>
      </c>
    </row>
    <row r="1283" spans="1:30" hidden="1">
      <c r="A1283" t="s">
        <v>2005</v>
      </c>
      <c r="B1283" t="s">
        <v>780</v>
      </c>
      <c r="C1283" t="s">
        <v>69</v>
      </c>
      <c r="D1283" t="s">
        <v>2682</v>
      </c>
      <c r="E1283" t="s">
        <v>2286</v>
      </c>
      <c r="F1283" s="1" t="s">
        <v>309</v>
      </c>
      <c r="G1283" t="s">
        <v>2683</v>
      </c>
      <c r="H1283" t="s">
        <v>1106</v>
      </c>
      <c r="I1283">
        <v>24</v>
      </c>
      <c r="J1283">
        <v>120000</v>
      </c>
      <c r="K1283">
        <v>120000</v>
      </c>
      <c r="L1283">
        <v>120000</v>
      </c>
      <c r="M1283">
        <v>120000</v>
      </c>
      <c r="N1283" t="s">
        <v>45</v>
      </c>
      <c r="O1283">
        <v>1</v>
      </c>
      <c r="P1283" s="3">
        <f t="shared" si="40"/>
        <v>120000</v>
      </c>
      <c r="Q1283" s="3" t="str">
        <f t="shared" si="41"/>
        <v>208A071305120000</v>
      </c>
      <c r="R1283" t="s">
        <v>2435</v>
      </c>
    </row>
    <row r="1284" spans="1:30" hidden="1">
      <c r="A1284" t="s">
        <v>2005</v>
      </c>
      <c r="B1284" t="s">
        <v>544</v>
      </c>
      <c r="C1284" t="s">
        <v>69</v>
      </c>
      <c r="D1284" t="s">
        <v>2684</v>
      </c>
      <c r="E1284" t="s">
        <v>2086</v>
      </c>
      <c r="F1284" s="1" t="s">
        <v>585</v>
      </c>
      <c r="G1284" t="s">
        <v>2685</v>
      </c>
      <c r="H1284" t="s">
        <v>1135</v>
      </c>
      <c r="I1284">
        <v>23</v>
      </c>
      <c r="J1284">
        <v>99.51</v>
      </c>
      <c r="K1284">
        <v>99.51</v>
      </c>
      <c r="L1284">
        <v>99.51</v>
      </c>
      <c r="M1284">
        <v>99.51</v>
      </c>
      <c r="N1284" t="s">
        <v>45</v>
      </c>
      <c r="O1284">
        <v>1</v>
      </c>
      <c r="P1284" s="3">
        <f t="shared" si="40"/>
        <v>99.51</v>
      </c>
      <c r="Q1284" s="3" t="str">
        <f t="shared" si="41"/>
        <v>195626205 0199.51</v>
      </c>
      <c r="R1284" t="s">
        <v>758</v>
      </c>
      <c r="S1284" t="s">
        <v>60</v>
      </c>
      <c r="AB1284" t="e">
        <v>#VALUE!</v>
      </c>
      <c r="AD1284" t="s">
        <v>2684</v>
      </c>
    </row>
    <row r="1285" spans="1:30" hidden="1">
      <c r="A1285" t="s">
        <v>2005</v>
      </c>
      <c r="B1285" t="s">
        <v>544</v>
      </c>
      <c r="C1285" t="s">
        <v>69</v>
      </c>
      <c r="D1285" t="s">
        <v>2686</v>
      </c>
      <c r="E1285" t="s">
        <v>2260</v>
      </c>
      <c r="F1285" s="1" t="s">
        <v>2261</v>
      </c>
      <c r="G1285" t="s">
        <v>2687</v>
      </c>
      <c r="H1285" t="s">
        <v>1135</v>
      </c>
      <c r="I1285">
        <v>23</v>
      </c>
      <c r="J1285">
        <v>1318197.08</v>
      </c>
      <c r="K1285">
        <v>1318197.08</v>
      </c>
      <c r="L1285">
        <v>1318197.08</v>
      </c>
      <c r="M1285">
        <v>1318197.08</v>
      </c>
      <c r="N1285" t="s">
        <v>45</v>
      </c>
      <c r="O1285">
        <v>1</v>
      </c>
      <c r="P1285" s="3">
        <f t="shared" si="40"/>
        <v>1318197.08</v>
      </c>
      <c r="Q1285" s="3" t="str">
        <f t="shared" si="41"/>
        <v>B205220311318197.08</v>
      </c>
      <c r="R1285" t="s">
        <v>2688</v>
      </c>
      <c r="S1285" t="s">
        <v>60</v>
      </c>
      <c r="T1285" t="s">
        <v>102</v>
      </c>
    </row>
    <row r="1286" spans="1:30" hidden="1">
      <c r="A1286" t="s">
        <v>2005</v>
      </c>
      <c r="B1286" t="s">
        <v>544</v>
      </c>
      <c r="C1286" t="s">
        <v>69</v>
      </c>
      <c r="D1286" t="s">
        <v>2689</v>
      </c>
      <c r="E1286" t="s">
        <v>2690</v>
      </c>
      <c r="F1286" s="1" t="s">
        <v>2691</v>
      </c>
      <c r="G1286" t="s">
        <v>2692</v>
      </c>
      <c r="H1286" t="s">
        <v>1135</v>
      </c>
      <c r="I1286">
        <v>23</v>
      </c>
      <c r="J1286">
        <v>6666666</v>
      </c>
      <c r="K1286">
        <v>6666666</v>
      </c>
      <c r="L1286">
        <v>6666666</v>
      </c>
      <c r="M1286">
        <v>6666666</v>
      </c>
      <c r="N1286" t="s">
        <v>45</v>
      </c>
      <c r="O1286">
        <v>1</v>
      </c>
      <c r="P1286" s="3">
        <f t="shared" si="40"/>
        <v>6666666</v>
      </c>
      <c r="Q1286" s="3" t="str">
        <f t="shared" si="41"/>
        <v>CS25TTMK11216666666</v>
      </c>
    </row>
    <row r="1287" spans="1:30" hidden="1">
      <c r="A1287" t="s">
        <v>2005</v>
      </c>
      <c r="B1287" t="s">
        <v>544</v>
      </c>
      <c r="C1287" t="s">
        <v>69</v>
      </c>
      <c r="D1287" t="s">
        <v>2693</v>
      </c>
      <c r="E1287" t="s">
        <v>2690</v>
      </c>
      <c r="F1287" s="1" t="s">
        <v>2691</v>
      </c>
      <c r="G1287" t="s">
        <v>2694</v>
      </c>
      <c r="H1287" t="s">
        <v>1135</v>
      </c>
      <c r="I1287">
        <v>23</v>
      </c>
      <c r="J1287">
        <v>6666666</v>
      </c>
      <c r="K1287">
        <v>6666666</v>
      </c>
      <c r="L1287">
        <v>6666666</v>
      </c>
      <c r="M1287">
        <v>6666666</v>
      </c>
      <c r="N1287" t="s">
        <v>45</v>
      </c>
      <c r="O1287">
        <v>1</v>
      </c>
      <c r="P1287" s="3">
        <f t="shared" si="40"/>
        <v>6666666</v>
      </c>
      <c r="Q1287" s="3" t="str">
        <f t="shared" si="41"/>
        <v>CS25TTMM11216666666</v>
      </c>
    </row>
    <row r="1288" spans="1:30" hidden="1">
      <c r="A1288" t="s">
        <v>2005</v>
      </c>
      <c r="B1288" t="s">
        <v>1150</v>
      </c>
      <c r="C1288" t="s">
        <v>69</v>
      </c>
      <c r="D1288" t="s">
        <v>2695</v>
      </c>
      <c r="E1288" t="s">
        <v>2605</v>
      </c>
      <c r="F1288" s="1" t="s">
        <v>2606</v>
      </c>
      <c r="G1288" t="s">
        <v>2696</v>
      </c>
      <c r="H1288" t="s">
        <v>1150</v>
      </c>
      <c r="I1288">
        <v>22</v>
      </c>
      <c r="J1288">
        <v>5275</v>
      </c>
      <c r="K1288">
        <v>5275</v>
      </c>
      <c r="L1288">
        <v>5275</v>
      </c>
      <c r="M1288">
        <v>5275</v>
      </c>
      <c r="N1288" t="s">
        <v>45</v>
      </c>
      <c r="O1288">
        <v>1</v>
      </c>
      <c r="P1288" s="3">
        <f t="shared" si="40"/>
        <v>5275</v>
      </c>
      <c r="Q1288" s="3" t="str">
        <f t="shared" si="41"/>
        <v>657357685275</v>
      </c>
      <c r="R1288" t="s">
        <v>1784</v>
      </c>
    </row>
    <row r="1289" spans="1:30" hidden="1">
      <c r="A1289" t="s">
        <v>2005</v>
      </c>
      <c r="B1289" t="s">
        <v>1150</v>
      </c>
      <c r="C1289" t="s">
        <v>69</v>
      </c>
      <c r="D1289" t="s">
        <v>2697</v>
      </c>
      <c r="E1289" t="s">
        <v>2098</v>
      </c>
      <c r="F1289" s="1"/>
      <c r="G1289" t="s">
        <v>2652</v>
      </c>
      <c r="H1289" t="s">
        <v>1150</v>
      </c>
      <c r="I1289">
        <v>22</v>
      </c>
      <c r="J1289">
        <v>277.5</v>
      </c>
      <c r="K1289">
        <v>277.5</v>
      </c>
      <c r="L1289">
        <v>277.5</v>
      </c>
      <c r="M1289">
        <v>277.5</v>
      </c>
      <c r="N1289" t="s">
        <v>45</v>
      </c>
      <c r="O1289">
        <v>1</v>
      </c>
      <c r="P1289" s="3">
        <f t="shared" si="40"/>
        <v>277.5</v>
      </c>
      <c r="Q1289" s="3" t="str">
        <f t="shared" si="41"/>
        <v>SIN069752277.5</v>
      </c>
    </row>
    <row r="1290" spans="1:30" hidden="1">
      <c r="A1290" t="s">
        <v>2005</v>
      </c>
      <c r="B1290" t="s">
        <v>1150</v>
      </c>
      <c r="C1290" t="s">
        <v>69</v>
      </c>
      <c r="D1290" t="s">
        <v>2698</v>
      </c>
      <c r="E1290" t="s">
        <v>2098</v>
      </c>
      <c r="F1290" s="1"/>
      <c r="G1290" t="s">
        <v>2650</v>
      </c>
      <c r="H1290" t="s">
        <v>1150</v>
      </c>
      <c r="I1290">
        <v>22</v>
      </c>
      <c r="J1290">
        <v>14190</v>
      </c>
      <c r="K1290">
        <v>14190</v>
      </c>
      <c r="L1290">
        <v>14190</v>
      </c>
      <c r="M1290">
        <v>14190</v>
      </c>
      <c r="N1290" t="s">
        <v>45</v>
      </c>
      <c r="O1290">
        <v>1</v>
      </c>
      <c r="P1290" s="3">
        <f t="shared" si="40"/>
        <v>14190</v>
      </c>
      <c r="Q1290" s="3" t="str">
        <f t="shared" si="41"/>
        <v>SIN06974614190</v>
      </c>
    </row>
    <row r="1291" spans="1:30" hidden="1">
      <c r="A1291" t="s">
        <v>2005</v>
      </c>
      <c r="B1291" t="s">
        <v>1157</v>
      </c>
      <c r="C1291" t="s">
        <v>69</v>
      </c>
      <c r="D1291" t="s">
        <v>2699</v>
      </c>
      <c r="E1291" t="s">
        <v>2700</v>
      </c>
      <c r="F1291" s="1" t="s">
        <v>2701</v>
      </c>
      <c r="G1291" t="s">
        <v>2702</v>
      </c>
      <c r="H1291" t="s">
        <v>1159</v>
      </c>
      <c r="I1291">
        <v>21</v>
      </c>
      <c r="J1291">
        <v>12.67</v>
      </c>
      <c r="K1291">
        <v>12.67</v>
      </c>
      <c r="L1291">
        <v>12.67</v>
      </c>
      <c r="M1291">
        <v>12.67</v>
      </c>
      <c r="N1291" t="s">
        <v>45</v>
      </c>
      <c r="O1291">
        <v>1</v>
      </c>
      <c r="P1291" s="3">
        <f t="shared" si="40"/>
        <v>12.67</v>
      </c>
      <c r="Q1291" s="3" t="str">
        <f t="shared" si="41"/>
        <v>INV33095947812.67</v>
      </c>
      <c r="R1291" t="s">
        <v>37</v>
      </c>
      <c r="S1291" t="s">
        <v>60</v>
      </c>
      <c r="T1291" t="s">
        <v>102</v>
      </c>
    </row>
    <row r="1292" spans="1:30" hidden="1">
      <c r="A1292" t="s">
        <v>2005</v>
      </c>
      <c r="B1292" t="s">
        <v>1159</v>
      </c>
      <c r="C1292" t="s">
        <v>69</v>
      </c>
      <c r="D1292" t="s">
        <v>2703</v>
      </c>
      <c r="E1292" t="s">
        <v>2704</v>
      </c>
      <c r="F1292" s="1" t="s">
        <v>2705</v>
      </c>
      <c r="G1292" t="s">
        <v>2415</v>
      </c>
      <c r="H1292" t="s">
        <v>1159</v>
      </c>
      <c r="I1292">
        <v>21</v>
      </c>
      <c r="J1292">
        <v>153.69999999999999</v>
      </c>
      <c r="K1292">
        <v>153.69999999999999</v>
      </c>
      <c r="L1292">
        <v>153.69999999999999</v>
      </c>
      <c r="M1292">
        <v>153.69999999999999</v>
      </c>
      <c r="N1292" t="s">
        <v>45</v>
      </c>
      <c r="O1292">
        <v>1</v>
      </c>
      <c r="P1292" s="3">
        <f t="shared" si="40"/>
        <v>153.69999999999999</v>
      </c>
      <c r="Q1292" s="3" t="str">
        <f t="shared" si="41"/>
        <v>195637764 01153.7</v>
      </c>
    </row>
    <row r="1293" spans="1:30" hidden="1">
      <c r="A1293" t="s">
        <v>2005</v>
      </c>
      <c r="B1293" t="s">
        <v>555</v>
      </c>
      <c r="C1293" t="s">
        <v>69</v>
      </c>
      <c r="D1293" t="s">
        <v>2706</v>
      </c>
      <c r="E1293" t="s">
        <v>2086</v>
      </c>
      <c r="F1293" s="1" t="s">
        <v>585</v>
      </c>
      <c r="G1293" t="s">
        <v>2685</v>
      </c>
      <c r="H1293" t="s">
        <v>1169</v>
      </c>
      <c r="I1293">
        <v>20</v>
      </c>
      <c r="J1293">
        <v>99.51</v>
      </c>
      <c r="K1293">
        <v>99.51</v>
      </c>
      <c r="L1293">
        <v>99.51</v>
      </c>
      <c r="M1293">
        <v>99.51</v>
      </c>
      <c r="N1293" t="s">
        <v>45</v>
      </c>
      <c r="O1293">
        <v>1</v>
      </c>
      <c r="P1293" s="3">
        <f t="shared" si="40"/>
        <v>99.51</v>
      </c>
      <c r="Q1293" s="3" t="str">
        <f t="shared" si="41"/>
        <v>195626836 0199.51</v>
      </c>
      <c r="R1293" t="s">
        <v>758</v>
      </c>
      <c r="S1293" t="s">
        <v>60</v>
      </c>
      <c r="AB1293" t="e">
        <v>#VALUE!</v>
      </c>
      <c r="AD1293" t="s">
        <v>2706</v>
      </c>
    </row>
    <row r="1294" spans="1:30" hidden="1">
      <c r="A1294" t="s">
        <v>2005</v>
      </c>
      <c r="B1294" t="s">
        <v>555</v>
      </c>
      <c r="C1294" t="s">
        <v>69</v>
      </c>
      <c r="D1294" t="s">
        <v>2707</v>
      </c>
      <c r="E1294" t="s">
        <v>2708</v>
      </c>
      <c r="F1294" s="1" t="s">
        <v>2709</v>
      </c>
      <c r="G1294" t="s">
        <v>2710</v>
      </c>
      <c r="H1294" t="s">
        <v>1169</v>
      </c>
      <c r="I1294">
        <v>20</v>
      </c>
      <c r="J1294">
        <v>917.05</v>
      </c>
      <c r="K1294">
        <v>786.04020000000003</v>
      </c>
      <c r="L1294">
        <v>700</v>
      </c>
      <c r="M1294">
        <v>600</v>
      </c>
      <c r="N1294" t="s">
        <v>2711</v>
      </c>
      <c r="O1294">
        <v>1.3100670000000001</v>
      </c>
      <c r="P1294" s="3">
        <f t="shared" si="40"/>
        <v>600</v>
      </c>
      <c r="Q1294" s="3" t="str">
        <f t="shared" si="41"/>
        <v>1000299600</v>
      </c>
      <c r="R1294" t="s">
        <v>2253</v>
      </c>
    </row>
    <row r="1295" spans="1:30" hidden="1">
      <c r="A1295" t="s">
        <v>2005</v>
      </c>
      <c r="B1295" t="s">
        <v>555</v>
      </c>
      <c r="C1295" t="s">
        <v>69</v>
      </c>
      <c r="D1295" t="s">
        <v>2712</v>
      </c>
      <c r="E1295" t="s">
        <v>2260</v>
      </c>
      <c r="F1295" s="1" t="s">
        <v>2261</v>
      </c>
      <c r="G1295" t="s">
        <v>2713</v>
      </c>
      <c r="H1295" t="s">
        <v>1169</v>
      </c>
      <c r="I1295">
        <v>20</v>
      </c>
      <c r="J1295">
        <v>12624.84</v>
      </c>
      <c r="K1295">
        <v>12624.84</v>
      </c>
      <c r="L1295">
        <v>12624.84</v>
      </c>
      <c r="M1295">
        <v>12624.84</v>
      </c>
      <c r="N1295" t="s">
        <v>45</v>
      </c>
      <c r="O1295">
        <v>1</v>
      </c>
      <c r="P1295" s="3">
        <f t="shared" si="40"/>
        <v>12624.84</v>
      </c>
      <c r="Q1295" s="3" t="str">
        <f t="shared" si="41"/>
        <v>B2053304112624.84</v>
      </c>
      <c r="R1295" t="s">
        <v>2263</v>
      </c>
      <c r="S1295" t="s">
        <v>60</v>
      </c>
      <c r="T1295" t="s">
        <v>102</v>
      </c>
    </row>
    <row r="1296" spans="1:30" hidden="1">
      <c r="A1296" t="s">
        <v>2005</v>
      </c>
      <c r="B1296" t="s">
        <v>555</v>
      </c>
      <c r="C1296" t="s">
        <v>69</v>
      </c>
      <c r="D1296" t="s">
        <v>2714</v>
      </c>
      <c r="E1296" t="s">
        <v>2715</v>
      </c>
      <c r="F1296" s="1" t="s">
        <v>2715</v>
      </c>
      <c r="G1296" t="s">
        <v>2716</v>
      </c>
      <c r="H1296" t="s">
        <v>1169</v>
      </c>
      <c r="I1296">
        <v>20</v>
      </c>
      <c r="J1296">
        <v>18900</v>
      </c>
      <c r="K1296">
        <v>18900</v>
      </c>
      <c r="L1296">
        <v>18900</v>
      </c>
      <c r="M1296">
        <v>18900</v>
      </c>
      <c r="N1296" t="s">
        <v>45</v>
      </c>
      <c r="O1296">
        <v>1</v>
      </c>
      <c r="P1296" s="3">
        <f t="shared" si="40"/>
        <v>18900</v>
      </c>
      <c r="Q1296" s="3" t="str">
        <f t="shared" si="41"/>
        <v>FC20251106818900</v>
      </c>
      <c r="R1296" t="s">
        <v>1296</v>
      </c>
      <c r="S1296" t="s">
        <v>60</v>
      </c>
      <c r="T1296" t="s">
        <v>102</v>
      </c>
    </row>
    <row r="1297" spans="1:20" hidden="1">
      <c r="A1297" t="s">
        <v>2005</v>
      </c>
      <c r="B1297" t="s">
        <v>555</v>
      </c>
      <c r="C1297" t="s">
        <v>69</v>
      </c>
      <c r="D1297" t="s">
        <v>2717</v>
      </c>
      <c r="E1297" t="s">
        <v>2098</v>
      </c>
      <c r="F1297" s="1" t="s">
        <v>2099</v>
      </c>
      <c r="G1297" t="s">
        <v>2277</v>
      </c>
      <c r="H1297" t="s">
        <v>1169</v>
      </c>
      <c r="I1297">
        <v>20</v>
      </c>
      <c r="J1297">
        <v>832.5</v>
      </c>
      <c r="K1297">
        <v>832.5</v>
      </c>
      <c r="L1297">
        <v>832.5</v>
      </c>
      <c r="M1297">
        <v>832.5</v>
      </c>
      <c r="N1297" t="s">
        <v>45</v>
      </c>
      <c r="O1297">
        <v>1</v>
      </c>
      <c r="P1297" s="3">
        <f t="shared" si="40"/>
        <v>832.5</v>
      </c>
      <c r="Q1297" s="3" t="str">
        <f t="shared" si="41"/>
        <v>SIN069241832.5</v>
      </c>
    </row>
    <row r="1298" spans="1:20" hidden="1">
      <c r="A1298" t="s">
        <v>2005</v>
      </c>
      <c r="B1298" t="s">
        <v>555</v>
      </c>
      <c r="C1298" t="s">
        <v>69</v>
      </c>
      <c r="D1298" t="s">
        <v>2718</v>
      </c>
      <c r="E1298" t="s">
        <v>2098</v>
      </c>
      <c r="F1298" s="1" t="s">
        <v>2099</v>
      </c>
      <c r="G1298" t="s">
        <v>2100</v>
      </c>
      <c r="H1298" t="s">
        <v>1169</v>
      </c>
      <c r="I1298">
        <v>20</v>
      </c>
      <c r="J1298">
        <v>6612.5</v>
      </c>
      <c r="K1298">
        <v>6612.5</v>
      </c>
      <c r="L1298">
        <v>6612.5</v>
      </c>
      <c r="M1298">
        <v>6612.5</v>
      </c>
      <c r="N1298" t="s">
        <v>45</v>
      </c>
      <c r="O1298">
        <v>1</v>
      </c>
      <c r="P1298" s="3">
        <f t="shared" si="40"/>
        <v>6612.5</v>
      </c>
      <c r="Q1298" s="3" t="str">
        <f t="shared" si="41"/>
        <v>SIN0692426612.5</v>
      </c>
    </row>
    <row r="1299" spans="1:20" hidden="1">
      <c r="A1299" t="s">
        <v>2005</v>
      </c>
      <c r="B1299" t="s">
        <v>854</v>
      </c>
      <c r="C1299" t="s">
        <v>69</v>
      </c>
      <c r="D1299" t="s">
        <v>2719</v>
      </c>
      <c r="E1299" t="s">
        <v>2102</v>
      </c>
      <c r="F1299" s="1" t="s">
        <v>2103</v>
      </c>
      <c r="G1299" t="s">
        <v>2720</v>
      </c>
      <c r="H1299" t="s">
        <v>1169</v>
      </c>
      <c r="I1299">
        <v>20</v>
      </c>
      <c r="J1299">
        <v>7500</v>
      </c>
      <c r="K1299">
        <v>7500</v>
      </c>
      <c r="L1299">
        <v>7500</v>
      </c>
      <c r="M1299">
        <v>7500</v>
      </c>
      <c r="N1299" t="s">
        <v>45</v>
      </c>
      <c r="O1299">
        <v>1</v>
      </c>
      <c r="P1299" s="3">
        <f t="shared" si="40"/>
        <v>7500</v>
      </c>
      <c r="Q1299" s="3" t="str">
        <f t="shared" si="41"/>
        <v>251821917500</v>
      </c>
    </row>
    <row r="1300" spans="1:20" hidden="1">
      <c r="A1300" t="s">
        <v>2005</v>
      </c>
      <c r="B1300" t="s">
        <v>96</v>
      </c>
      <c r="C1300" t="s">
        <v>69</v>
      </c>
      <c r="D1300" t="s">
        <v>2721</v>
      </c>
      <c r="E1300" t="s">
        <v>2108</v>
      </c>
      <c r="F1300" s="1" t="s">
        <v>2109</v>
      </c>
      <c r="G1300" t="s">
        <v>2722</v>
      </c>
      <c r="H1300" t="s">
        <v>1205</v>
      </c>
      <c r="I1300">
        <v>19</v>
      </c>
      <c r="J1300">
        <v>7325.24</v>
      </c>
      <c r="K1300">
        <v>7325.24</v>
      </c>
      <c r="L1300">
        <v>7325.24</v>
      </c>
      <c r="M1300">
        <v>7325.24</v>
      </c>
      <c r="N1300" t="s">
        <v>45</v>
      </c>
      <c r="O1300">
        <v>1</v>
      </c>
      <c r="P1300" s="3">
        <f t="shared" si="40"/>
        <v>7325.24</v>
      </c>
      <c r="Q1300" s="3" t="str">
        <f t="shared" si="41"/>
        <v>672537325.24</v>
      </c>
      <c r="R1300" t="s">
        <v>202</v>
      </c>
      <c r="S1300" t="s">
        <v>60</v>
      </c>
      <c r="T1300" t="s">
        <v>102</v>
      </c>
    </row>
    <row r="1301" spans="1:20" hidden="1">
      <c r="A1301" t="s">
        <v>2005</v>
      </c>
      <c r="B1301" t="s">
        <v>560</v>
      </c>
      <c r="C1301" t="s">
        <v>69</v>
      </c>
      <c r="D1301" t="s">
        <v>2723</v>
      </c>
      <c r="E1301" t="s">
        <v>2260</v>
      </c>
      <c r="F1301" s="1" t="s">
        <v>2261</v>
      </c>
      <c r="G1301" t="s">
        <v>2724</v>
      </c>
      <c r="H1301" t="s">
        <v>1205</v>
      </c>
      <c r="I1301">
        <v>19</v>
      </c>
      <c r="J1301">
        <v>4849.25</v>
      </c>
      <c r="K1301">
        <v>4849.25</v>
      </c>
      <c r="L1301">
        <v>4849.25</v>
      </c>
      <c r="M1301">
        <v>4849.25</v>
      </c>
      <c r="N1301" t="s">
        <v>45</v>
      </c>
      <c r="O1301">
        <v>1</v>
      </c>
      <c r="P1301" s="3">
        <f t="shared" si="40"/>
        <v>4849.25</v>
      </c>
      <c r="Q1301" s="3" t="str">
        <f t="shared" si="41"/>
        <v>B205352084849.25</v>
      </c>
      <c r="R1301" t="s">
        <v>37</v>
      </c>
      <c r="S1301" t="s">
        <v>60</v>
      </c>
      <c r="T1301" t="s">
        <v>102</v>
      </c>
    </row>
    <row r="1302" spans="1:20" hidden="1">
      <c r="A1302" t="s">
        <v>2005</v>
      </c>
      <c r="B1302" t="s">
        <v>560</v>
      </c>
      <c r="C1302" t="s">
        <v>69</v>
      </c>
      <c r="D1302" t="s">
        <v>2725</v>
      </c>
      <c r="E1302" t="s">
        <v>2132</v>
      </c>
      <c r="F1302" s="1" t="s">
        <v>2133</v>
      </c>
      <c r="G1302" t="s">
        <v>2726</v>
      </c>
      <c r="H1302" t="s">
        <v>1205</v>
      </c>
      <c r="I1302">
        <v>19</v>
      </c>
      <c r="J1302">
        <v>145</v>
      </c>
      <c r="K1302">
        <v>145</v>
      </c>
      <c r="L1302">
        <v>145</v>
      </c>
      <c r="M1302">
        <v>145</v>
      </c>
      <c r="N1302" t="s">
        <v>45</v>
      </c>
      <c r="O1302">
        <v>1</v>
      </c>
      <c r="P1302" s="3">
        <f t="shared" si="40"/>
        <v>145</v>
      </c>
      <c r="Q1302" s="3" t="str">
        <f t="shared" si="41"/>
        <v>2025-3625145</v>
      </c>
      <c r="R1302" t="s">
        <v>992</v>
      </c>
    </row>
    <row r="1303" spans="1:20" hidden="1">
      <c r="A1303" t="s">
        <v>2005</v>
      </c>
      <c r="B1303" t="s">
        <v>560</v>
      </c>
      <c r="C1303" t="s">
        <v>69</v>
      </c>
      <c r="D1303" t="s">
        <v>2727</v>
      </c>
      <c r="E1303" t="s">
        <v>2132</v>
      </c>
      <c r="F1303" s="1" t="s">
        <v>2133</v>
      </c>
      <c r="G1303" t="s">
        <v>2728</v>
      </c>
      <c r="H1303" t="s">
        <v>1205</v>
      </c>
      <c r="I1303">
        <v>19</v>
      </c>
      <c r="J1303">
        <v>4700</v>
      </c>
      <c r="K1303">
        <v>4700</v>
      </c>
      <c r="L1303">
        <v>4700</v>
      </c>
      <c r="M1303">
        <v>4700</v>
      </c>
      <c r="N1303" t="s">
        <v>45</v>
      </c>
      <c r="O1303">
        <v>1</v>
      </c>
      <c r="P1303" s="3">
        <f t="shared" si="40"/>
        <v>4700</v>
      </c>
      <c r="Q1303" s="3" t="str">
        <f t="shared" si="41"/>
        <v>2025-36264700</v>
      </c>
      <c r="R1303" t="s">
        <v>992</v>
      </c>
    </row>
    <row r="1304" spans="1:20" hidden="1">
      <c r="A1304" t="s">
        <v>2005</v>
      </c>
      <c r="B1304" t="s">
        <v>560</v>
      </c>
      <c r="C1304" t="s">
        <v>69</v>
      </c>
      <c r="D1304" t="s">
        <v>2729</v>
      </c>
      <c r="E1304" t="s">
        <v>2132</v>
      </c>
      <c r="F1304" s="1" t="s">
        <v>2133</v>
      </c>
      <c r="G1304" t="s">
        <v>2730</v>
      </c>
      <c r="H1304" t="s">
        <v>1205</v>
      </c>
      <c r="I1304">
        <v>19</v>
      </c>
      <c r="J1304">
        <v>4700</v>
      </c>
      <c r="K1304">
        <v>4700</v>
      </c>
      <c r="L1304">
        <v>4700</v>
      </c>
      <c r="M1304">
        <v>4700</v>
      </c>
      <c r="N1304" t="s">
        <v>45</v>
      </c>
      <c r="O1304">
        <v>1</v>
      </c>
      <c r="P1304" s="3">
        <f t="shared" si="40"/>
        <v>4700</v>
      </c>
      <c r="Q1304" s="3" t="str">
        <f t="shared" si="41"/>
        <v>2025-36274700</v>
      </c>
      <c r="R1304" t="s">
        <v>992</v>
      </c>
    </row>
    <row r="1305" spans="1:20" hidden="1">
      <c r="A1305" t="s">
        <v>2005</v>
      </c>
      <c r="B1305" t="s">
        <v>560</v>
      </c>
      <c r="C1305" t="s">
        <v>69</v>
      </c>
      <c r="D1305" t="s">
        <v>2731</v>
      </c>
      <c r="E1305" t="s">
        <v>2132</v>
      </c>
      <c r="F1305" s="1" t="s">
        <v>2133</v>
      </c>
      <c r="G1305" t="s">
        <v>2732</v>
      </c>
      <c r="H1305" t="s">
        <v>1205</v>
      </c>
      <c r="I1305">
        <v>19</v>
      </c>
      <c r="J1305">
        <v>4700</v>
      </c>
      <c r="K1305">
        <v>4700</v>
      </c>
      <c r="L1305">
        <v>4700</v>
      </c>
      <c r="M1305">
        <v>4700</v>
      </c>
      <c r="N1305" t="s">
        <v>45</v>
      </c>
      <c r="O1305">
        <v>1</v>
      </c>
      <c r="P1305" s="3">
        <f t="shared" si="40"/>
        <v>4700</v>
      </c>
      <c r="Q1305" s="3" t="str">
        <f t="shared" si="41"/>
        <v>2025-36284700</v>
      </c>
      <c r="R1305" t="s">
        <v>992</v>
      </c>
    </row>
    <row r="1306" spans="1:20" hidden="1">
      <c r="A1306" t="s">
        <v>2005</v>
      </c>
      <c r="B1306" t="s">
        <v>560</v>
      </c>
      <c r="C1306" t="s">
        <v>69</v>
      </c>
      <c r="D1306" t="s">
        <v>2733</v>
      </c>
      <c r="E1306" t="s">
        <v>2132</v>
      </c>
      <c r="F1306" s="1" t="s">
        <v>2133</v>
      </c>
      <c r="G1306" t="s">
        <v>2734</v>
      </c>
      <c r="H1306" t="s">
        <v>1205</v>
      </c>
      <c r="I1306">
        <v>19</v>
      </c>
      <c r="J1306">
        <v>800</v>
      </c>
      <c r="K1306">
        <v>800</v>
      </c>
      <c r="L1306">
        <v>800</v>
      </c>
      <c r="M1306">
        <v>800</v>
      </c>
      <c r="N1306" t="s">
        <v>45</v>
      </c>
      <c r="O1306">
        <v>1</v>
      </c>
      <c r="P1306" s="3">
        <f t="shared" si="40"/>
        <v>800</v>
      </c>
      <c r="Q1306" s="3" t="str">
        <f t="shared" si="41"/>
        <v>2025-3629800</v>
      </c>
      <c r="R1306" t="s">
        <v>992</v>
      </c>
    </row>
    <row r="1307" spans="1:20" hidden="1">
      <c r="A1307" t="s">
        <v>2005</v>
      </c>
      <c r="B1307" t="s">
        <v>560</v>
      </c>
      <c r="C1307" t="s">
        <v>69</v>
      </c>
      <c r="D1307" t="s">
        <v>2735</v>
      </c>
      <c r="E1307" t="s">
        <v>2132</v>
      </c>
      <c r="F1307" s="1" t="s">
        <v>2133</v>
      </c>
      <c r="G1307" t="s">
        <v>2736</v>
      </c>
      <c r="H1307" t="s">
        <v>1205</v>
      </c>
      <c r="I1307">
        <v>19</v>
      </c>
      <c r="J1307">
        <v>800</v>
      </c>
      <c r="K1307">
        <v>800</v>
      </c>
      <c r="L1307">
        <v>800</v>
      </c>
      <c r="M1307">
        <v>800</v>
      </c>
      <c r="N1307" t="s">
        <v>45</v>
      </c>
      <c r="O1307">
        <v>1</v>
      </c>
      <c r="P1307" s="3">
        <f t="shared" si="40"/>
        <v>800</v>
      </c>
      <c r="Q1307" s="3" t="str">
        <f t="shared" si="41"/>
        <v>2025-3630800</v>
      </c>
      <c r="R1307" t="s">
        <v>992</v>
      </c>
    </row>
    <row r="1308" spans="1:20" hidden="1">
      <c r="A1308" t="s">
        <v>2005</v>
      </c>
      <c r="B1308" t="s">
        <v>560</v>
      </c>
      <c r="C1308" t="s">
        <v>69</v>
      </c>
      <c r="D1308" t="s">
        <v>2737</v>
      </c>
      <c r="E1308" t="s">
        <v>2132</v>
      </c>
      <c r="F1308" s="1" t="s">
        <v>2133</v>
      </c>
      <c r="G1308" t="s">
        <v>2738</v>
      </c>
      <c r="H1308" t="s">
        <v>1205</v>
      </c>
      <c r="I1308">
        <v>19</v>
      </c>
      <c r="J1308">
        <v>135</v>
      </c>
      <c r="K1308">
        <v>135</v>
      </c>
      <c r="L1308">
        <v>135</v>
      </c>
      <c r="M1308">
        <v>135</v>
      </c>
      <c r="N1308" t="s">
        <v>45</v>
      </c>
      <c r="O1308">
        <v>1</v>
      </c>
      <c r="P1308" s="3">
        <f t="shared" si="40"/>
        <v>135</v>
      </c>
      <c r="Q1308" s="3" t="str">
        <f t="shared" si="41"/>
        <v>2025-3659135</v>
      </c>
      <c r="R1308" t="s">
        <v>992</v>
      </c>
    </row>
    <row r="1309" spans="1:20" hidden="1">
      <c r="A1309" t="s">
        <v>2005</v>
      </c>
      <c r="B1309" t="s">
        <v>560</v>
      </c>
      <c r="C1309" t="s">
        <v>69</v>
      </c>
      <c r="D1309" t="s">
        <v>2739</v>
      </c>
      <c r="E1309" t="s">
        <v>2132</v>
      </c>
      <c r="F1309" s="1" t="s">
        <v>2133</v>
      </c>
      <c r="G1309" t="s">
        <v>2740</v>
      </c>
      <c r="H1309" t="s">
        <v>1205</v>
      </c>
      <c r="I1309">
        <v>19</v>
      </c>
      <c r="J1309">
        <v>800</v>
      </c>
      <c r="K1309">
        <v>800</v>
      </c>
      <c r="L1309">
        <v>800</v>
      </c>
      <c r="M1309">
        <v>800</v>
      </c>
      <c r="N1309" t="s">
        <v>45</v>
      </c>
      <c r="O1309">
        <v>1</v>
      </c>
      <c r="P1309" s="3">
        <f t="shared" si="40"/>
        <v>800</v>
      </c>
      <c r="Q1309" s="3" t="str">
        <f t="shared" si="41"/>
        <v>2025-3660800</v>
      </c>
      <c r="R1309" t="s">
        <v>992</v>
      </c>
    </row>
    <row r="1310" spans="1:20" hidden="1">
      <c r="A1310" t="s">
        <v>2005</v>
      </c>
      <c r="B1310" t="s">
        <v>560</v>
      </c>
      <c r="C1310" t="s">
        <v>69</v>
      </c>
      <c r="D1310" t="s">
        <v>2741</v>
      </c>
      <c r="E1310" t="s">
        <v>2132</v>
      </c>
      <c r="F1310" s="1" t="s">
        <v>2133</v>
      </c>
      <c r="G1310" t="s">
        <v>2742</v>
      </c>
      <c r="H1310" t="s">
        <v>1205</v>
      </c>
      <c r="I1310">
        <v>19</v>
      </c>
      <c r="J1310">
        <v>5273</v>
      </c>
      <c r="K1310">
        <v>5273</v>
      </c>
      <c r="L1310">
        <v>5273</v>
      </c>
      <c r="M1310">
        <v>5273</v>
      </c>
      <c r="N1310" t="s">
        <v>45</v>
      </c>
      <c r="O1310">
        <v>1</v>
      </c>
      <c r="P1310" s="3">
        <f t="shared" si="40"/>
        <v>5273</v>
      </c>
      <c r="Q1310" s="3" t="str">
        <f t="shared" si="41"/>
        <v>2025-36615273</v>
      </c>
      <c r="R1310" t="s">
        <v>992</v>
      </c>
    </row>
    <row r="1311" spans="1:20" hidden="1">
      <c r="A1311" t="s">
        <v>2005</v>
      </c>
      <c r="B1311" t="s">
        <v>560</v>
      </c>
      <c r="C1311" t="s">
        <v>69</v>
      </c>
      <c r="D1311" t="s">
        <v>2743</v>
      </c>
      <c r="E1311" t="s">
        <v>2132</v>
      </c>
      <c r="F1311" s="1" t="s">
        <v>2133</v>
      </c>
      <c r="G1311" t="s">
        <v>2744</v>
      </c>
      <c r="H1311" t="s">
        <v>1205</v>
      </c>
      <c r="I1311">
        <v>19</v>
      </c>
      <c r="J1311">
        <v>135</v>
      </c>
      <c r="K1311">
        <v>135</v>
      </c>
      <c r="L1311">
        <v>135</v>
      </c>
      <c r="M1311">
        <v>135</v>
      </c>
      <c r="N1311" t="s">
        <v>45</v>
      </c>
      <c r="O1311">
        <v>1</v>
      </c>
      <c r="P1311" s="3">
        <f t="shared" si="40"/>
        <v>135</v>
      </c>
      <c r="Q1311" s="3" t="str">
        <f t="shared" si="41"/>
        <v>2025-3662135</v>
      </c>
      <c r="R1311" t="s">
        <v>992</v>
      </c>
    </row>
    <row r="1312" spans="1:20" hidden="1">
      <c r="A1312" t="s">
        <v>2005</v>
      </c>
      <c r="B1312" t="s">
        <v>560</v>
      </c>
      <c r="C1312" t="s">
        <v>69</v>
      </c>
      <c r="D1312" t="s">
        <v>2745</v>
      </c>
      <c r="E1312" t="s">
        <v>2132</v>
      </c>
      <c r="F1312" s="1" t="s">
        <v>2133</v>
      </c>
      <c r="G1312" t="s">
        <v>2746</v>
      </c>
      <c r="H1312" t="s">
        <v>1205</v>
      </c>
      <c r="I1312">
        <v>19</v>
      </c>
      <c r="J1312">
        <v>7805</v>
      </c>
      <c r="K1312">
        <v>7805</v>
      </c>
      <c r="L1312">
        <v>7805</v>
      </c>
      <c r="M1312">
        <v>7805</v>
      </c>
      <c r="N1312" t="s">
        <v>45</v>
      </c>
      <c r="O1312">
        <v>1</v>
      </c>
      <c r="P1312" s="3">
        <f t="shared" si="40"/>
        <v>7805</v>
      </c>
      <c r="Q1312" s="3" t="str">
        <f t="shared" si="41"/>
        <v>2025-37597805</v>
      </c>
      <c r="R1312" t="s">
        <v>992</v>
      </c>
    </row>
    <row r="1313" spans="1:20" hidden="1">
      <c r="A1313" t="s">
        <v>2005</v>
      </c>
      <c r="B1313" t="s">
        <v>560</v>
      </c>
      <c r="C1313" t="s">
        <v>69</v>
      </c>
      <c r="D1313" t="s">
        <v>2747</v>
      </c>
      <c r="E1313" t="s">
        <v>2132</v>
      </c>
      <c r="F1313" s="1" t="s">
        <v>2133</v>
      </c>
      <c r="G1313" t="s">
        <v>2748</v>
      </c>
      <c r="H1313" t="s">
        <v>1205</v>
      </c>
      <c r="I1313">
        <v>19</v>
      </c>
      <c r="J1313">
        <v>4270</v>
      </c>
      <c r="K1313">
        <v>4270</v>
      </c>
      <c r="L1313">
        <v>4270</v>
      </c>
      <c r="M1313">
        <v>4270</v>
      </c>
      <c r="N1313" t="s">
        <v>45</v>
      </c>
      <c r="O1313">
        <v>1</v>
      </c>
      <c r="P1313" s="3">
        <f t="shared" si="40"/>
        <v>4270</v>
      </c>
      <c r="Q1313" s="3" t="str">
        <f t="shared" si="41"/>
        <v>2025-37604270</v>
      </c>
      <c r="R1313" t="s">
        <v>992</v>
      </c>
    </row>
    <row r="1314" spans="1:20" hidden="1">
      <c r="A1314" t="s">
        <v>2005</v>
      </c>
      <c r="B1314" t="s">
        <v>560</v>
      </c>
      <c r="C1314" t="s">
        <v>69</v>
      </c>
      <c r="D1314" t="s">
        <v>2749</v>
      </c>
      <c r="E1314" t="s">
        <v>2132</v>
      </c>
      <c r="F1314" s="1" t="s">
        <v>2133</v>
      </c>
      <c r="G1314" t="s">
        <v>2750</v>
      </c>
      <c r="H1314" t="s">
        <v>1205</v>
      </c>
      <c r="I1314">
        <v>19</v>
      </c>
      <c r="J1314">
        <v>3628.24</v>
      </c>
      <c r="K1314">
        <v>3628.24</v>
      </c>
      <c r="L1314">
        <v>3628.24</v>
      </c>
      <c r="M1314">
        <v>3628.24</v>
      </c>
      <c r="N1314" t="s">
        <v>45</v>
      </c>
      <c r="O1314">
        <v>1</v>
      </c>
      <c r="P1314" s="3">
        <f t="shared" si="40"/>
        <v>3628.24</v>
      </c>
      <c r="Q1314" s="3" t="str">
        <f t="shared" si="41"/>
        <v>2025-37613628.24</v>
      </c>
      <c r="R1314" t="s">
        <v>992</v>
      </c>
    </row>
    <row r="1315" spans="1:20" hidden="1">
      <c r="A1315" t="s">
        <v>2005</v>
      </c>
      <c r="B1315" t="s">
        <v>560</v>
      </c>
      <c r="C1315" t="s">
        <v>69</v>
      </c>
      <c r="D1315" t="s">
        <v>2751</v>
      </c>
      <c r="E1315" t="s">
        <v>2132</v>
      </c>
      <c r="F1315" s="1" t="s">
        <v>2133</v>
      </c>
      <c r="G1315" t="s">
        <v>2752</v>
      </c>
      <c r="H1315" t="s">
        <v>1205</v>
      </c>
      <c r="I1315">
        <v>19</v>
      </c>
      <c r="J1315">
        <v>1458.48</v>
      </c>
      <c r="K1315">
        <v>1458.48</v>
      </c>
      <c r="L1315">
        <v>1458.48</v>
      </c>
      <c r="M1315">
        <v>1458.48</v>
      </c>
      <c r="N1315" t="s">
        <v>45</v>
      </c>
      <c r="O1315">
        <v>1</v>
      </c>
      <c r="P1315" s="3">
        <f t="shared" si="40"/>
        <v>1458.48</v>
      </c>
      <c r="Q1315" s="3" t="str">
        <f t="shared" si="41"/>
        <v>2025-37621458.48</v>
      </c>
      <c r="R1315" t="s">
        <v>992</v>
      </c>
    </row>
    <row r="1316" spans="1:20" hidden="1">
      <c r="A1316" t="s">
        <v>2005</v>
      </c>
      <c r="B1316" t="s">
        <v>578</v>
      </c>
      <c r="C1316" t="s">
        <v>69</v>
      </c>
      <c r="D1316" t="s">
        <v>2753</v>
      </c>
      <c r="E1316" t="s">
        <v>2273</v>
      </c>
      <c r="F1316" s="1" t="s">
        <v>433</v>
      </c>
      <c r="G1316" t="s">
        <v>2754</v>
      </c>
      <c r="H1316" t="s">
        <v>1236</v>
      </c>
      <c r="I1316">
        <v>18</v>
      </c>
      <c r="J1316">
        <v>15000</v>
      </c>
      <c r="K1316">
        <v>15000</v>
      </c>
      <c r="L1316">
        <v>15000</v>
      </c>
      <c r="M1316">
        <v>15000</v>
      </c>
      <c r="N1316" t="s">
        <v>45</v>
      </c>
      <c r="O1316">
        <v>1</v>
      </c>
      <c r="P1316" s="3">
        <f t="shared" si="40"/>
        <v>15000</v>
      </c>
      <c r="Q1316" s="3" t="str">
        <f t="shared" si="41"/>
        <v>200415000</v>
      </c>
      <c r="R1316" t="s">
        <v>306</v>
      </c>
      <c r="S1316" t="s">
        <v>60</v>
      </c>
    </row>
    <row r="1317" spans="1:20" hidden="1">
      <c r="A1317" t="s">
        <v>2005</v>
      </c>
      <c r="B1317" t="s">
        <v>578</v>
      </c>
      <c r="C1317" t="s">
        <v>69</v>
      </c>
      <c r="D1317" t="s">
        <v>2755</v>
      </c>
      <c r="E1317" t="s">
        <v>2188</v>
      </c>
      <c r="F1317" s="1" t="s">
        <v>2189</v>
      </c>
      <c r="G1317" t="s">
        <v>2756</v>
      </c>
      <c r="H1317" t="s">
        <v>1236</v>
      </c>
      <c r="I1317">
        <v>18</v>
      </c>
      <c r="J1317">
        <v>2057.1999999999998</v>
      </c>
      <c r="K1317">
        <v>2057.1992614800001</v>
      </c>
      <c r="L1317">
        <v>1774.52</v>
      </c>
      <c r="M1317">
        <v>1774.52</v>
      </c>
      <c r="N1317" t="s">
        <v>601</v>
      </c>
      <c r="O1317">
        <v>1.1592990000000001</v>
      </c>
      <c r="P1317" s="3">
        <f t="shared" si="40"/>
        <v>1774.52</v>
      </c>
      <c r="Q1317" s="3" t="str">
        <f t="shared" si="41"/>
        <v>25034811774.52</v>
      </c>
      <c r="R1317" t="s">
        <v>285</v>
      </c>
    </row>
    <row r="1318" spans="1:20" hidden="1">
      <c r="A1318" t="s">
        <v>2005</v>
      </c>
      <c r="B1318" t="s">
        <v>1236</v>
      </c>
      <c r="C1318" t="s">
        <v>69</v>
      </c>
      <c r="D1318" t="s">
        <v>2757</v>
      </c>
      <c r="E1318" t="s">
        <v>2598</v>
      </c>
      <c r="F1318" s="1"/>
      <c r="G1318" t="s">
        <v>2758</v>
      </c>
      <c r="H1318" t="s">
        <v>1236</v>
      </c>
      <c r="I1318">
        <v>18</v>
      </c>
      <c r="J1318">
        <v>265000</v>
      </c>
      <c r="K1318">
        <v>265000</v>
      </c>
      <c r="L1318">
        <v>265000</v>
      </c>
      <c r="M1318">
        <v>265000</v>
      </c>
      <c r="N1318" t="s">
        <v>45</v>
      </c>
      <c r="O1318">
        <v>1</v>
      </c>
      <c r="P1318" s="3">
        <f t="shared" si="40"/>
        <v>265000</v>
      </c>
      <c r="Q1318" s="3" t="str">
        <f t="shared" si="41"/>
        <v>MU-/25-26/SI/316265000</v>
      </c>
    </row>
    <row r="1319" spans="1:20" hidden="1">
      <c r="A1319" t="s">
        <v>2005</v>
      </c>
      <c r="B1319" t="s">
        <v>596</v>
      </c>
      <c r="C1319" t="s">
        <v>69</v>
      </c>
      <c r="D1319" t="s">
        <v>2759</v>
      </c>
      <c r="E1319" t="s">
        <v>2028</v>
      </c>
      <c r="F1319" s="1" t="s">
        <v>2029</v>
      </c>
      <c r="G1319" t="s">
        <v>2760</v>
      </c>
      <c r="H1319" t="s">
        <v>1266</v>
      </c>
      <c r="I1319">
        <v>17</v>
      </c>
      <c r="J1319">
        <v>3846.12</v>
      </c>
      <c r="K1319">
        <v>3846.1249120000002</v>
      </c>
      <c r="L1319">
        <v>120784</v>
      </c>
      <c r="M1319">
        <v>120784</v>
      </c>
      <c r="N1319" t="s">
        <v>2031</v>
      </c>
      <c r="O1319">
        <v>3.1843000000000003E-2</v>
      </c>
      <c r="P1319" s="3">
        <f t="shared" si="40"/>
        <v>120784</v>
      </c>
      <c r="Q1319" s="3" t="str">
        <f t="shared" si="41"/>
        <v>TV38828653120784</v>
      </c>
      <c r="R1319" t="s">
        <v>37</v>
      </c>
      <c r="S1319" t="s">
        <v>60</v>
      </c>
      <c r="T1319" t="s">
        <v>102</v>
      </c>
    </row>
    <row r="1320" spans="1:20" hidden="1">
      <c r="A1320" t="s">
        <v>2005</v>
      </c>
      <c r="B1320" t="s">
        <v>596</v>
      </c>
      <c r="C1320" t="s">
        <v>69</v>
      </c>
      <c r="D1320" t="s">
        <v>2761</v>
      </c>
      <c r="E1320" t="s">
        <v>2188</v>
      </c>
      <c r="F1320" s="1" t="s">
        <v>2189</v>
      </c>
      <c r="G1320" t="s">
        <v>2762</v>
      </c>
      <c r="H1320" t="s">
        <v>1266</v>
      </c>
      <c r="I1320">
        <v>17</v>
      </c>
      <c r="J1320">
        <v>77.430000000000007</v>
      </c>
      <c r="K1320">
        <v>77.432085119999996</v>
      </c>
      <c r="L1320">
        <v>66.819999999999993</v>
      </c>
      <c r="M1320">
        <v>66.819999999999993</v>
      </c>
      <c r="N1320" t="s">
        <v>601</v>
      </c>
      <c r="O1320">
        <v>1.1588160000000001</v>
      </c>
      <c r="P1320" s="3">
        <f t="shared" si="40"/>
        <v>66.819999999999993</v>
      </c>
      <c r="Q1320" s="3" t="str">
        <f t="shared" si="41"/>
        <v>250348766.82</v>
      </c>
      <c r="R1320" t="s">
        <v>285</v>
      </c>
    </row>
    <row r="1321" spans="1:20" hidden="1">
      <c r="A1321" t="s">
        <v>2005</v>
      </c>
      <c r="B1321" t="s">
        <v>687</v>
      </c>
      <c r="C1321" t="s">
        <v>69</v>
      </c>
      <c r="D1321" t="s">
        <v>2763</v>
      </c>
      <c r="E1321" t="s">
        <v>2568</v>
      </c>
      <c r="F1321" s="1" t="s">
        <v>2569</v>
      </c>
      <c r="G1321" t="s">
        <v>2764</v>
      </c>
      <c r="H1321" t="s">
        <v>1266</v>
      </c>
      <c r="I1321">
        <v>17</v>
      </c>
      <c r="J1321">
        <v>30398.99</v>
      </c>
      <c r="K1321">
        <v>30398.99</v>
      </c>
      <c r="L1321">
        <v>30398.99</v>
      </c>
      <c r="M1321">
        <v>30398.99</v>
      </c>
      <c r="N1321" t="s">
        <v>45</v>
      </c>
      <c r="O1321">
        <v>1</v>
      </c>
      <c r="P1321" s="3">
        <f t="shared" si="40"/>
        <v>30398.99</v>
      </c>
      <c r="Q1321" s="3" t="str">
        <f t="shared" si="41"/>
        <v>IN10251127013830398.99</v>
      </c>
      <c r="R1321" t="s">
        <v>2765</v>
      </c>
      <c r="T1321" t="s">
        <v>2766</v>
      </c>
    </row>
    <row r="1322" spans="1:20" hidden="1">
      <c r="A1322" t="s">
        <v>2005</v>
      </c>
      <c r="B1322" t="s">
        <v>687</v>
      </c>
      <c r="C1322" t="s">
        <v>69</v>
      </c>
      <c r="D1322" t="s">
        <v>2767</v>
      </c>
      <c r="E1322" t="s">
        <v>2568</v>
      </c>
      <c r="F1322" s="1" t="s">
        <v>2569</v>
      </c>
      <c r="G1322" t="s">
        <v>2768</v>
      </c>
      <c r="H1322" t="s">
        <v>1266</v>
      </c>
      <c r="I1322">
        <v>17</v>
      </c>
      <c r="J1322">
        <v>20381.29</v>
      </c>
      <c r="K1322">
        <v>20381.29</v>
      </c>
      <c r="L1322">
        <v>20381.29</v>
      </c>
      <c r="M1322">
        <v>20381.29</v>
      </c>
      <c r="N1322" t="s">
        <v>45</v>
      </c>
      <c r="O1322">
        <v>1</v>
      </c>
      <c r="P1322" s="3">
        <f t="shared" si="40"/>
        <v>20381.29</v>
      </c>
      <c r="Q1322" s="3" t="str">
        <f t="shared" si="41"/>
        <v>IN10251127007320381.29</v>
      </c>
      <c r="R1322" t="s">
        <v>2765</v>
      </c>
      <c r="T1322" t="s">
        <v>2766</v>
      </c>
    </row>
    <row r="1323" spans="1:20" hidden="1">
      <c r="A1323" t="s">
        <v>2005</v>
      </c>
      <c r="B1323" t="s">
        <v>918</v>
      </c>
      <c r="C1323" t="s">
        <v>69</v>
      </c>
      <c r="D1323" t="s">
        <v>2769</v>
      </c>
      <c r="E1323" t="s">
        <v>2770</v>
      </c>
      <c r="F1323" s="1" t="s">
        <v>2771</v>
      </c>
      <c r="G1323" t="s">
        <v>2772</v>
      </c>
      <c r="H1323" t="s">
        <v>1266</v>
      </c>
      <c r="I1323">
        <v>17</v>
      </c>
      <c r="J1323">
        <v>4312.5</v>
      </c>
      <c r="K1323">
        <v>4312.5</v>
      </c>
      <c r="L1323">
        <v>4312.5</v>
      </c>
      <c r="M1323">
        <v>4312.5</v>
      </c>
      <c r="N1323" t="s">
        <v>45</v>
      </c>
      <c r="O1323">
        <v>1</v>
      </c>
      <c r="P1323" s="3">
        <f t="shared" si="40"/>
        <v>4312.5</v>
      </c>
      <c r="Q1323" s="3" t="str">
        <f t="shared" si="41"/>
        <v>1082053464312.5</v>
      </c>
      <c r="R1323" t="s">
        <v>2435</v>
      </c>
    </row>
    <row r="1324" spans="1:20" hidden="1">
      <c r="A1324" t="s">
        <v>2005</v>
      </c>
      <c r="B1324" t="s">
        <v>606</v>
      </c>
      <c r="C1324" t="s">
        <v>69</v>
      </c>
      <c r="D1324" t="s">
        <v>2773</v>
      </c>
      <c r="E1324" t="s">
        <v>2234</v>
      </c>
      <c r="F1324" s="1" t="s">
        <v>2235</v>
      </c>
      <c r="G1324" t="s">
        <v>2774</v>
      </c>
      <c r="H1324" t="s">
        <v>1295</v>
      </c>
      <c r="I1324">
        <v>16</v>
      </c>
      <c r="J1324">
        <v>10600</v>
      </c>
      <c r="K1324">
        <v>10600</v>
      </c>
      <c r="L1324">
        <v>10600</v>
      </c>
      <c r="M1324">
        <v>10600</v>
      </c>
      <c r="N1324" t="s">
        <v>45</v>
      </c>
      <c r="O1324">
        <v>1</v>
      </c>
      <c r="P1324" s="3">
        <f t="shared" si="40"/>
        <v>10600</v>
      </c>
      <c r="Q1324" s="3" t="str">
        <f t="shared" si="41"/>
        <v>186210600</v>
      </c>
      <c r="R1324" t="s">
        <v>2115</v>
      </c>
      <c r="S1324" t="s">
        <v>233</v>
      </c>
      <c r="T1324" t="s">
        <v>102</v>
      </c>
    </row>
    <row r="1325" spans="1:20" hidden="1">
      <c r="A1325" t="s">
        <v>2005</v>
      </c>
      <c r="B1325" t="s">
        <v>606</v>
      </c>
      <c r="C1325" t="s">
        <v>69</v>
      </c>
      <c r="D1325" t="s">
        <v>2775</v>
      </c>
      <c r="E1325" t="s">
        <v>2776</v>
      </c>
      <c r="F1325" s="1" t="s">
        <v>2777</v>
      </c>
      <c r="G1325" t="s">
        <v>2778</v>
      </c>
      <c r="H1325" t="s">
        <v>1295</v>
      </c>
      <c r="I1325">
        <v>16</v>
      </c>
      <c r="J1325">
        <v>3934</v>
      </c>
      <c r="K1325">
        <v>3934</v>
      </c>
      <c r="L1325">
        <v>3934</v>
      </c>
      <c r="M1325">
        <v>3934</v>
      </c>
      <c r="N1325" t="s">
        <v>45</v>
      </c>
      <c r="O1325">
        <v>1</v>
      </c>
      <c r="P1325" s="3">
        <f t="shared" si="40"/>
        <v>3934</v>
      </c>
      <c r="Q1325" s="3" t="str">
        <f t="shared" si="41"/>
        <v>40513934</v>
      </c>
      <c r="R1325" t="s">
        <v>1686</v>
      </c>
      <c r="S1325" t="s">
        <v>60</v>
      </c>
      <c r="T1325" t="s">
        <v>102</v>
      </c>
    </row>
    <row r="1326" spans="1:20" hidden="1">
      <c r="A1326" t="s">
        <v>2005</v>
      </c>
      <c r="B1326" t="s">
        <v>606</v>
      </c>
      <c r="C1326" t="s">
        <v>69</v>
      </c>
      <c r="D1326" t="s">
        <v>2779</v>
      </c>
      <c r="E1326" t="s">
        <v>2776</v>
      </c>
      <c r="F1326" s="1" t="s">
        <v>2777</v>
      </c>
      <c r="G1326" t="s">
        <v>2780</v>
      </c>
      <c r="H1326" t="s">
        <v>1295</v>
      </c>
      <c r="I1326">
        <v>16</v>
      </c>
      <c r="J1326">
        <v>17680</v>
      </c>
      <c r="K1326">
        <v>17680</v>
      </c>
      <c r="L1326">
        <v>17680</v>
      </c>
      <c r="M1326">
        <v>17680</v>
      </c>
      <c r="N1326" t="s">
        <v>45</v>
      </c>
      <c r="O1326">
        <v>1</v>
      </c>
      <c r="P1326" s="3">
        <f t="shared" si="40"/>
        <v>17680</v>
      </c>
      <c r="Q1326" s="3" t="str">
        <f t="shared" si="41"/>
        <v>405217680</v>
      </c>
      <c r="R1326" t="s">
        <v>2781</v>
      </c>
    </row>
    <row r="1327" spans="1:20" hidden="1">
      <c r="A1327" t="s">
        <v>2005</v>
      </c>
      <c r="B1327" t="s">
        <v>606</v>
      </c>
      <c r="C1327" t="s">
        <v>69</v>
      </c>
      <c r="D1327" t="s">
        <v>2782</v>
      </c>
      <c r="E1327" t="s">
        <v>2776</v>
      </c>
      <c r="F1327" s="1" t="s">
        <v>2777</v>
      </c>
      <c r="G1327" t="s">
        <v>2783</v>
      </c>
      <c r="H1327" t="s">
        <v>1295</v>
      </c>
      <c r="I1327">
        <v>16</v>
      </c>
      <c r="J1327">
        <v>10400</v>
      </c>
      <c r="K1327">
        <v>10400</v>
      </c>
      <c r="L1327">
        <v>10400</v>
      </c>
      <c r="M1327">
        <v>10400</v>
      </c>
      <c r="N1327" t="s">
        <v>45</v>
      </c>
      <c r="O1327">
        <v>1</v>
      </c>
      <c r="P1327" s="3">
        <f t="shared" si="40"/>
        <v>10400</v>
      </c>
      <c r="Q1327" s="3" t="str">
        <f t="shared" si="41"/>
        <v>405310400</v>
      </c>
      <c r="R1327" t="s">
        <v>992</v>
      </c>
    </row>
    <row r="1328" spans="1:20" hidden="1">
      <c r="A1328" t="s">
        <v>2005</v>
      </c>
      <c r="B1328" t="s">
        <v>606</v>
      </c>
      <c r="C1328" t="s">
        <v>69</v>
      </c>
      <c r="D1328" t="s">
        <v>2784</v>
      </c>
      <c r="E1328" t="s">
        <v>2776</v>
      </c>
      <c r="F1328" s="1" t="s">
        <v>2777</v>
      </c>
      <c r="G1328" t="s">
        <v>2785</v>
      </c>
      <c r="H1328" t="s">
        <v>1295</v>
      </c>
      <c r="I1328">
        <v>16</v>
      </c>
      <c r="J1328">
        <v>28080</v>
      </c>
      <c r="K1328">
        <v>28080</v>
      </c>
      <c r="L1328">
        <v>28080</v>
      </c>
      <c r="M1328">
        <v>28080</v>
      </c>
      <c r="N1328" t="s">
        <v>45</v>
      </c>
      <c r="O1328">
        <v>1</v>
      </c>
      <c r="P1328" s="3">
        <f t="shared" si="40"/>
        <v>28080</v>
      </c>
      <c r="Q1328" s="3" t="str">
        <f t="shared" si="41"/>
        <v>405428080</v>
      </c>
      <c r="R1328" t="s">
        <v>2323</v>
      </c>
      <c r="S1328" t="s">
        <v>155</v>
      </c>
      <c r="T1328" t="s">
        <v>102</v>
      </c>
    </row>
    <row r="1329" spans="1:20" hidden="1">
      <c r="A1329" t="s">
        <v>2005</v>
      </c>
      <c r="B1329" t="s">
        <v>606</v>
      </c>
      <c r="C1329" t="s">
        <v>69</v>
      </c>
      <c r="D1329" t="s">
        <v>2786</v>
      </c>
      <c r="E1329" t="s">
        <v>2776</v>
      </c>
      <c r="F1329" s="1" t="s">
        <v>2777</v>
      </c>
      <c r="G1329" t="s">
        <v>2787</v>
      </c>
      <c r="H1329" t="s">
        <v>1295</v>
      </c>
      <c r="I1329">
        <v>16</v>
      </c>
      <c r="J1329">
        <v>17472</v>
      </c>
      <c r="K1329">
        <v>17472</v>
      </c>
      <c r="L1329">
        <v>17472</v>
      </c>
      <c r="M1329">
        <v>17472</v>
      </c>
      <c r="N1329" t="s">
        <v>45</v>
      </c>
      <c r="O1329">
        <v>1</v>
      </c>
      <c r="P1329" s="3">
        <f t="shared" si="40"/>
        <v>17472</v>
      </c>
      <c r="Q1329" s="3" t="str">
        <f t="shared" si="41"/>
        <v>405517472</v>
      </c>
      <c r="R1329" t="s">
        <v>395</v>
      </c>
    </row>
    <row r="1330" spans="1:20" hidden="1">
      <c r="A1330" t="s">
        <v>2005</v>
      </c>
      <c r="B1330" t="s">
        <v>606</v>
      </c>
      <c r="C1330" t="s">
        <v>69</v>
      </c>
      <c r="D1330" t="s">
        <v>2788</v>
      </c>
      <c r="E1330" t="s">
        <v>2776</v>
      </c>
      <c r="F1330" s="1" t="s">
        <v>2777</v>
      </c>
      <c r="G1330" t="s">
        <v>2789</v>
      </c>
      <c r="H1330" t="s">
        <v>1295</v>
      </c>
      <c r="I1330">
        <v>16</v>
      </c>
      <c r="J1330">
        <v>31200</v>
      </c>
      <c r="K1330">
        <v>31200</v>
      </c>
      <c r="L1330">
        <v>31200</v>
      </c>
      <c r="M1330">
        <v>31200</v>
      </c>
      <c r="N1330" t="s">
        <v>45</v>
      </c>
      <c r="O1330">
        <v>1</v>
      </c>
      <c r="P1330" s="3">
        <f t="shared" si="40"/>
        <v>31200</v>
      </c>
      <c r="Q1330" s="3" t="str">
        <f t="shared" si="41"/>
        <v>405631200</v>
      </c>
      <c r="R1330" t="s">
        <v>146</v>
      </c>
    </row>
    <row r="1331" spans="1:20" hidden="1">
      <c r="A1331" t="s">
        <v>2005</v>
      </c>
      <c r="B1331" t="s">
        <v>606</v>
      </c>
      <c r="C1331" t="s">
        <v>69</v>
      </c>
      <c r="D1331" t="s">
        <v>2790</v>
      </c>
      <c r="E1331" t="s">
        <v>2776</v>
      </c>
      <c r="F1331" s="1" t="s">
        <v>2777</v>
      </c>
      <c r="G1331" t="s">
        <v>2791</v>
      </c>
      <c r="H1331" t="s">
        <v>1295</v>
      </c>
      <c r="I1331">
        <v>16</v>
      </c>
      <c r="J1331">
        <v>13520</v>
      </c>
      <c r="K1331">
        <v>13520</v>
      </c>
      <c r="L1331">
        <v>13520</v>
      </c>
      <c r="M1331">
        <v>13520</v>
      </c>
      <c r="N1331" t="s">
        <v>45</v>
      </c>
      <c r="O1331">
        <v>1</v>
      </c>
      <c r="P1331" s="3">
        <f t="shared" si="40"/>
        <v>13520</v>
      </c>
      <c r="Q1331" s="3" t="str">
        <f t="shared" si="41"/>
        <v>405713520</v>
      </c>
      <c r="R1331" t="s">
        <v>395</v>
      </c>
    </row>
    <row r="1332" spans="1:20" hidden="1">
      <c r="A1332" t="s">
        <v>2005</v>
      </c>
      <c r="B1332" t="s">
        <v>606</v>
      </c>
      <c r="C1332" t="s">
        <v>69</v>
      </c>
      <c r="D1332" t="s">
        <v>2792</v>
      </c>
      <c r="E1332" t="s">
        <v>2776</v>
      </c>
      <c r="F1332" s="1"/>
      <c r="G1332" t="s">
        <v>2793</v>
      </c>
      <c r="H1332" t="s">
        <v>1295</v>
      </c>
      <c r="I1332">
        <v>16</v>
      </c>
      <c r="J1332">
        <v>13520</v>
      </c>
      <c r="K1332">
        <v>6240</v>
      </c>
      <c r="L1332">
        <v>13520</v>
      </c>
      <c r="M1332">
        <v>6240</v>
      </c>
      <c r="N1332" t="s">
        <v>45</v>
      </c>
      <c r="O1332">
        <v>1</v>
      </c>
      <c r="P1332" s="3">
        <f t="shared" si="40"/>
        <v>6240</v>
      </c>
      <c r="Q1332" s="3" t="str">
        <f t="shared" si="41"/>
        <v>40586240</v>
      </c>
    </row>
    <row r="1333" spans="1:20" hidden="1">
      <c r="A1333" t="s">
        <v>2005</v>
      </c>
      <c r="B1333" t="s">
        <v>687</v>
      </c>
      <c r="C1333" t="s">
        <v>69</v>
      </c>
      <c r="D1333" t="s">
        <v>2794</v>
      </c>
      <c r="E1333" t="s">
        <v>2230</v>
      </c>
      <c r="F1333" s="1" t="s">
        <v>2231</v>
      </c>
      <c r="G1333" t="s">
        <v>2795</v>
      </c>
      <c r="H1333" t="s">
        <v>1295</v>
      </c>
      <c r="I1333">
        <v>16</v>
      </c>
      <c r="J1333">
        <v>3036.8</v>
      </c>
      <c r="K1333">
        <v>3036.7981680799999</v>
      </c>
      <c r="L1333">
        <v>2615.17</v>
      </c>
      <c r="M1333">
        <v>2615.17</v>
      </c>
      <c r="N1333" t="s">
        <v>601</v>
      </c>
      <c r="O1333">
        <v>1.161224</v>
      </c>
      <c r="P1333" s="3">
        <f t="shared" si="40"/>
        <v>2615.17</v>
      </c>
      <c r="Q1333" s="3" t="str">
        <f t="shared" si="41"/>
        <v>IESI2892982615.17</v>
      </c>
    </row>
    <row r="1334" spans="1:20" hidden="1">
      <c r="A1334" t="s">
        <v>2005</v>
      </c>
      <c r="B1334" t="s">
        <v>1316</v>
      </c>
      <c r="C1334" t="s">
        <v>69</v>
      </c>
      <c r="D1334" t="s">
        <v>2796</v>
      </c>
      <c r="E1334" t="s">
        <v>2325</v>
      </c>
      <c r="F1334" s="1" t="s">
        <v>2326</v>
      </c>
      <c r="G1334" t="s">
        <v>2797</v>
      </c>
      <c r="H1334" t="s">
        <v>1316</v>
      </c>
      <c r="I1334">
        <v>15</v>
      </c>
      <c r="J1334">
        <v>45150</v>
      </c>
      <c r="K1334">
        <v>45150</v>
      </c>
      <c r="L1334">
        <v>45150</v>
      </c>
      <c r="M1334">
        <v>45150</v>
      </c>
      <c r="N1334" t="s">
        <v>45</v>
      </c>
      <c r="O1334">
        <v>1</v>
      </c>
      <c r="P1334" s="3">
        <f t="shared" ref="P1334:P1395" si="42">IF(N1334="CAD",$P$1,1)*M1334</f>
        <v>45150</v>
      </c>
      <c r="Q1334" s="3" t="str">
        <f t="shared" ref="Q1334:Q1395" si="43">D1334&amp;M1334</f>
        <v>218599145150</v>
      </c>
      <c r="R1334" t="s">
        <v>186</v>
      </c>
    </row>
    <row r="1335" spans="1:20" hidden="1">
      <c r="A1335" t="s">
        <v>2005</v>
      </c>
      <c r="B1335" t="s">
        <v>664</v>
      </c>
      <c r="C1335" t="s">
        <v>69</v>
      </c>
      <c r="D1335" t="s">
        <v>2798</v>
      </c>
      <c r="E1335" t="s">
        <v>2432</v>
      </c>
      <c r="F1335" s="1" t="s">
        <v>2433</v>
      </c>
      <c r="G1335" t="s">
        <v>2799</v>
      </c>
      <c r="H1335" t="s">
        <v>1335</v>
      </c>
      <c r="I1335">
        <v>14</v>
      </c>
      <c r="J1335">
        <v>16503.34</v>
      </c>
      <c r="K1335">
        <v>16503.34</v>
      </c>
      <c r="L1335">
        <v>16503.34</v>
      </c>
      <c r="M1335">
        <v>16503.34</v>
      </c>
      <c r="N1335" t="s">
        <v>45</v>
      </c>
      <c r="O1335">
        <v>1</v>
      </c>
      <c r="P1335" s="3">
        <f t="shared" si="42"/>
        <v>16503.34</v>
      </c>
      <c r="Q1335" s="3" t="str">
        <f t="shared" si="43"/>
        <v>HK2511-16416503.34</v>
      </c>
      <c r="R1335" t="s">
        <v>2435</v>
      </c>
    </row>
    <row r="1336" spans="1:20" hidden="1">
      <c r="A1336" t="s">
        <v>2005</v>
      </c>
      <c r="B1336" t="s">
        <v>664</v>
      </c>
      <c r="C1336" t="s">
        <v>69</v>
      </c>
      <c r="D1336" t="s">
        <v>2800</v>
      </c>
      <c r="E1336" t="s">
        <v>2449</v>
      </c>
      <c r="F1336" s="1" t="s">
        <v>2450</v>
      </c>
      <c r="G1336" t="s">
        <v>2801</v>
      </c>
      <c r="H1336" t="s">
        <v>1335</v>
      </c>
      <c r="I1336">
        <v>14</v>
      </c>
      <c r="J1336">
        <v>22360</v>
      </c>
      <c r="K1336">
        <v>22360</v>
      </c>
      <c r="L1336">
        <v>22360</v>
      </c>
      <c r="M1336">
        <v>22360</v>
      </c>
      <c r="N1336" t="s">
        <v>45</v>
      </c>
      <c r="O1336">
        <v>1</v>
      </c>
      <c r="P1336" s="3">
        <f t="shared" si="42"/>
        <v>22360</v>
      </c>
      <c r="Q1336" s="3" t="str">
        <f t="shared" si="43"/>
        <v>INV0478122360</v>
      </c>
      <c r="R1336" t="s">
        <v>1686</v>
      </c>
      <c r="S1336" t="s">
        <v>60</v>
      </c>
      <c r="T1336" t="s">
        <v>102</v>
      </c>
    </row>
    <row r="1337" spans="1:20" hidden="1">
      <c r="A1337" t="s">
        <v>2005</v>
      </c>
      <c r="B1337" t="s">
        <v>664</v>
      </c>
      <c r="C1337" t="s">
        <v>69</v>
      </c>
      <c r="D1337" t="s">
        <v>2802</v>
      </c>
      <c r="E1337" t="s">
        <v>2803</v>
      </c>
      <c r="F1337" s="1" t="s">
        <v>2804</v>
      </c>
      <c r="G1337" t="s">
        <v>2805</v>
      </c>
      <c r="H1337" t="s">
        <v>1335</v>
      </c>
      <c r="I1337">
        <v>14</v>
      </c>
      <c r="J1337">
        <v>7450.88</v>
      </c>
      <c r="K1337">
        <v>7450.88</v>
      </c>
      <c r="L1337">
        <v>7450.88</v>
      </c>
      <c r="M1337">
        <v>7450.88</v>
      </c>
      <c r="N1337" t="s">
        <v>45</v>
      </c>
      <c r="O1337">
        <v>1</v>
      </c>
      <c r="P1337" s="3">
        <f t="shared" si="42"/>
        <v>7450.88</v>
      </c>
      <c r="Q1337" s="3" t="str">
        <f t="shared" si="43"/>
        <v>M1701896-IN7450.88</v>
      </c>
      <c r="R1337" t="s">
        <v>1191</v>
      </c>
    </row>
    <row r="1338" spans="1:20" hidden="1">
      <c r="A1338" t="s">
        <v>2005</v>
      </c>
      <c r="B1338" t="s">
        <v>664</v>
      </c>
      <c r="C1338" t="s">
        <v>69</v>
      </c>
      <c r="D1338" t="s">
        <v>2806</v>
      </c>
      <c r="E1338" t="s">
        <v>2803</v>
      </c>
      <c r="F1338" s="1" t="s">
        <v>2804</v>
      </c>
      <c r="G1338" t="s">
        <v>2807</v>
      </c>
      <c r="H1338" t="s">
        <v>1335</v>
      </c>
      <c r="I1338">
        <v>14</v>
      </c>
      <c r="J1338">
        <v>7450.88</v>
      </c>
      <c r="K1338">
        <v>7450.88</v>
      </c>
      <c r="L1338">
        <v>7450.88</v>
      </c>
      <c r="M1338">
        <v>7450.88</v>
      </c>
      <c r="N1338" t="s">
        <v>45</v>
      </c>
      <c r="O1338">
        <v>1</v>
      </c>
      <c r="P1338" s="3">
        <f t="shared" si="42"/>
        <v>7450.88</v>
      </c>
      <c r="Q1338" s="3" t="str">
        <f t="shared" si="43"/>
        <v>M1701897-IN7450.88</v>
      </c>
      <c r="R1338" t="s">
        <v>1191</v>
      </c>
    </row>
    <row r="1339" spans="1:20" hidden="1">
      <c r="A1339" t="s">
        <v>2005</v>
      </c>
      <c r="B1339" t="s">
        <v>664</v>
      </c>
      <c r="C1339" t="s">
        <v>69</v>
      </c>
      <c r="D1339" t="s">
        <v>2808</v>
      </c>
      <c r="E1339" t="s">
        <v>2803</v>
      </c>
      <c r="F1339" s="1" t="s">
        <v>2804</v>
      </c>
      <c r="G1339" t="s">
        <v>2809</v>
      </c>
      <c r="H1339" t="s">
        <v>1335</v>
      </c>
      <c r="I1339">
        <v>14</v>
      </c>
      <c r="J1339">
        <v>7450.88</v>
      </c>
      <c r="K1339">
        <v>7450.88</v>
      </c>
      <c r="L1339">
        <v>7450.88</v>
      </c>
      <c r="M1339">
        <v>7450.88</v>
      </c>
      <c r="N1339" t="s">
        <v>45</v>
      </c>
      <c r="O1339">
        <v>1</v>
      </c>
      <c r="P1339" s="3">
        <f t="shared" si="42"/>
        <v>7450.88</v>
      </c>
      <c r="Q1339" s="3" t="str">
        <f t="shared" si="43"/>
        <v>M1701898-IN7450.88</v>
      </c>
      <c r="R1339" t="s">
        <v>1191</v>
      </c>
    </row>
    <row r="1340" spans="1:20" hidden="1">
      <c r="A1340" t="s">
        <v>2005</v>
      </c>
      <c r="B1340" t="s">
        <v>664</v>
      </c>
      <c r="C1340" t="s">
        <v>69</v>
      </c>
      <c r="D1340" t="s">
        <v>2810</v>
      </c>
      <c r="E1340" t="s">
        <v>2803</v>
      </c>
      <c r="F1340" s="1" t="s">
        <v>2804</v>
      </c>
      <c r="G1340" t="s">
        <v>2811</v>
      </c>
      <c r="H1340" t="s">
        <v>1335</v>
      </c>
      <c r="I1340">
        <v>14</v>
      </c>
      <c r="J1340">
        <v>7450.88</v>
      </c>
      <c r="K1340">
        <v>7450.88</v>
      </c>
      <c r="L1340">
        <v>7450.88</v>
      </c>
      <c r="M1340">
        <v>7450.88</v>
      </c>
      <c r="N1340" t="s">
        <v>45</v>
      </c>
      <c r="O1340">
        <v>1</v>
      </c>
      <c r="P1340" s="3">
        <f t="shared" si="42"/>
        <v>7450.88</v>
      </c>
      <c r="Q1340" s="3" t="str">
        <f t="shared" si="43"/>
        <v>M1701899-IN7450.88</v>
      </c>
      <c r="R1340" t="s">
        <v>1191</v>
      </c>
    </row>
    <row r="1341" spans="1:20" hidden="1">
      <c r="A1341" t="s">
        <v>2005</v>
      </c>
      <c r="B1341" t="s">
        <v>664</v>
      </c>
      <c r="C1341" t="s">
        <v>69</v>
      </c>
      <c r="D1341" t="s">
        <v>2812</v>
      </c>
      <c r="E1341" t="s">
        <v>2813</v>
      </c>
      <c r="F1341" s="1" t="s">
        <v>2814</v>
      </c>
      <c r="G1341" t="s">
        <v>2815</v>
      </c>
      <c r="H1341" t="s">
        <v>1335</v>
      </c>
      <c r="I1341">
        <v>14</v>
      </c>
      <c r="J1341">
        <v>790</v>
      </c>
      <c r="K1341">
        <v>790</v>
      </c>
      <c r="L1341">
        <v>790</v>
      </c>
      <c r="M1341">
        <v>790</v>
      </c>
      <c r="N1341" t="s">
        <v>45</v>
      </c>
      <c r="O1341">
        <v>1</v>
      </c>
      <c r="P1341" s="3">
        <f t="shared" si="42"/>
        <v>790</v>
      </c>
      <c r="Q1341" s="3" t="str">
        <f t="shared" si="43"/>
        <v>62330790</v>
      </c>
      <c r="R1341" t="s">
        <v>2167</v>
      </c>
      <c r="S1341" t="s">
        <v>60</v>
      </c>
      <c r="T1341" t="s">
        <v>102</v>
      </c>
    </row>
    <row r="1342" spans="1:20" hidden="1">
      <c r="A1342" t="s">
        <v>2005</v>
      </c>
      <c r="B1342" t="s">
        <v>664</v>
      </c>
      <c r="C1342" t="s">
        <v>69</v>
      </c>
      <c r="D1342" t="s">
        <v>2816</v>
      </c>
      <c r="E1342" t="s">
        <v>2292</v>
      </c>
      <c r="F1342" s="1" t="s">
        <v>2293</v>
      </c>
      <c r="G1342" t="s">
        <v>32</v>
      </c>
      <c r="H1342" t="s">
        <v>1335</v>
      </c>
      <c r="I1342">
        <v>14</v>
      </c>
      <c r="J1342">
        <v>25256.9</v>
      </c>
      <c r="K1342">
        <v>25256.9</v>
      </c>
      <c r="L1342">
        <v>25256.9</v>
      </c>
      <c r="M1342">
        <v>25256.9</v>
      </c>
      <c r="N1342" t="s">
        <v>45</v>
      </c>
      <c r="O1342">
        <v>1</v>
      </c>
      <c r="P1342" s="3">
        <f t="shared" si="42"/>
        <v>25256.9</v>
      </c>
      <c r="Q1342" s="3" t="str">
        <f t="shared" si="43"/>
        <v>3490925256.9</v>
      </c>
      <c r="R1342" t="s">
        <v>1784</v>
      </c>
      <c r="S1342" t="s">
        <v>60</v>
      </c>
    </row>
    <row r="1343" spans="1:20" hidden="1">
      <c r="A1343" t="s">
        <v>2005</v>
      </c>
      <c r="B1343" t="s">
        <v>664</v>
      </c>
      <c r="C1343" t="s">
        <v>69</v>
      </c>
      <c r="D1343" t="s">
        <v>2817</v>
      </c>
      <c r="E1343" t="s">
        <v>2818</v>
      </c>
      <c r="F1343" s="1" t="s">
        <v>2819</v>
      </c>
      <c r="G1343" t="s">
        <v>2820</v>
      </c>
      <c r="H1343" t="s">
        <v>1335</v>
      </c>
      <c r="I1343">
        <v>14</v>
      </c>
      <c r="J1343">
        <v>4500</v>
      </c>
      <c r="K1343">
        <v>4500</v>
      </c>
      <c r="L1343">
        <v>4500</v>
      </c>
      <c r="M1343">
        <v>4500</v>
      </c>
      <c r="N1343" t="s">
        <v>45</v>
      </c>
      <c r="O1343">
        <v>1</v>
      </c>
      <c r="P1343" s="3">
        <f t="shared" si="42"/>
        <v>4500</v>
      </c>
      <c r="Q1343" s="3" t="str">
        <f t="shared" si="43"/>
        <v>I/2025/11/174500</v>
      </c>
      <c r="R1343" t="s">
        <v>146</v>
      </c>
    </row>
    <row r="1344" spans="1:20" hidden="1">
      <c r="A1344" t="s">
        <v>2005</v>
      </c>
      <c r="B1344" t="s">
        <v>664</v>
      </c>
      <c r="C1344" t="s">
        <v>69</v>
      </c>
      <c r="D1344" t="s">
        <v>2821</v>
      </c>
      <c r="E1344" t="s">
        <v>2065</v>
      </c>
      <c r="F1344" s="1" t="s">
        <v>2066</v>
      </c>
      <c r="G1344" t="s">
        <v>2822</v>
      </c>
      <c r="H1344" t="s">
        <v>1335</v>
      </c>
      <c r="I1344">
        <v>14</v>
      </c>
      <c r="J1344">
        <v>36400</v>
      </c>
      <c r="K1344">
        <v>36400</v>
      </c>
      <c r="L1344">
        <v>36400</v>
      </c>
      <c r="M1344">
        <v>36400</v>
      </c>
      <c r="N1344" t="s">
        <v>45</v>
      </c>
      <c r="O1344">
        <v>1</v>
      </c>
      <c r="P1344" s="3">
        <f t="shared" si="42"/>
        <v>36400</v>
      </c>
      <c r="Q1344" s="3" t="str">
        <f t="shared" si="43"/>
        <v>04574336400</v>
      </c>
      <c r="R1344" t="s">
        <v>395</v>
      </c>
    </row>
    <row r="1345" spans="1:28" hidden="1">
      <c r="A1345" t="s">
        <v>2005</v>
      </c>
      <c r="B1345" t="s">
        <v>664</v>
      </c>
      <c r="C1345" t="s">
        <v>69</v>
      </c>
      <c r="D1345" t="s">
        <v>2823</v>
      </c>
      <c r="E1345" t="s">
        <v>2065</v>
      </c>
      <c r="F1345" s="1" t="s">
        <v>2066</v>
      </c>
      <c r="G1345" t="s">
        <v>2824</v>
      </c>
      <c r="H1345" t="s">
        <v>1335</v>
      </c>
      <c r="I1345">
        <v>14</v>
      </c>
      <c r="J1345">
        <v>22000</v>
      </c>
      <c r="K1345">
        <v>22000</v>
      </c>
      <c r="L1345">
        <v>22000</v>
      </c>
      <c r="M1345">
        <v>22000</v>
      </c>
      <c r="N1345" t="s">
        <v>45</v>
      </c>
      <c r="O1345">
        <v>1</v>
      </c>
      <c r="P1345" s="3">
        <f t="shared" si="42"/>
        <v>22000</v>
      </c>
      <c r="Q1345" s="3" t="str">
        <f t="shared" si="43"/>
        <v>04574522000</v>
      </c>
      <c r="R1345" t="s">
        <v>395</v>
      </c>
    </row>
    <row r="1346" spans="1:28" hidden="1">
      <c r="A1346" t="s">
        <v>2005</v>
      </c>
      <c r="B1346" t="s">
        <v>664</v>
      </c>
      <c r="C1346" t="s">
        <v>69</v>
      </c>
      <c r="D1346" t="s">
        <v>2825</v>
      </c>
      <c r="E1346" t="s">
        <v>2065</v>
      </c>
      <c r="F1346" s="1" t="s">
        <v>2066</v>
      </c>
      <c r="G1346" t="s">
        <v>2826</v>
      </c>
      <c r="H1346" t="s">
        <v>1335</v>
      </c>
      <c r="I1346">
        <v>14</v>
      </c>
      <c r="J1346">
        <v>11200</v>
      </c>
      <c r="K1346">
        <v>11200</v>
      </c>
      <c r="L1346">
        <v>11200</v>
      </c>
      <c r="M1346">
        <v>11200</v>
      </c>
      <c r="N1346" t="s">
        <v>45</v>
      </c>
      <c r="O1346">
        <v>1</v>
      </c>
      <c r="P1346" s="3">
        <f t="shared" si="42"/>
        <v>11200</v>
      </c>
      <c r="Q1346" s="3" t="str">
        <f t="shared" si="43"/>
        <v>04574711200</v>
      </c>
      <c r="R1346" t="s">
        <v>395</v>
      </c>
    </row>
    <row r="1347" spans="1:28" hidden="1">
      <c r="A1347" t="s">
        <v>2005</v>
      </c>
      <c r="B1347" t="s">
        <v>664</v>
      </c>
      <c r="C1347" t="s">
        <v>69</v>
      </c>
      <c r="D1347" t="s">
        <v>2827</v>
      </c>
      <c r="E1347" t="s">
        <v>2065</v>
      </c>
      <c r="F1347" s="1" t="s">
        <v>2066</v>
      </c>
      <c r="G1347" t="s">
        <v>2828</v>
      </c>
      <c r="H1347" t="s">
        <v>1335</v>
      </c>
      <c r="I1347">
        <v>14</v>
      </c>
      <c r="J1347">
        <v>12000</v>
      </c>
      <c r="K1347">
        <v>12000</v>
      </c>
      <c r="L1347">
        <v>12000</v>
      </c>
      <c r="M1347">
        <v>12000</v>
      </c>
      <c r="N1347" t="s">
        <v>45</v>
      </c>
      <c r="O1347">
        <v>1</v>
      </c>
      <c r="P1347" s="3">
        <f t="shared" si="42"/>
        <v>12000</v>
      </c>
      <c r="Q1347" s="3" t="str">
        <f t="shared" si="43"/>
        <v>04574612000</v>
      </c>
      <c r="R1347" t="s">
        <v>395</v>
      </c>
    </row>
    <row r="1348" spans="1:28" hidden="1">
      <c r="A1348" t="s">
        <v>2005</v>
      </c>
      <c r="B1348" t="s">
        <v>664</v>
      </c>
      <c r="C1348" t="s">
        <v>69</v>
      </c>
      <c r="D1348" t="s">
        <v>2829</v>
      </c>
      <c r="E1348" t="s">
        <v>2065</v>
      </c>
      <c r="F1348" s="1" t="s">
        <v>2066</v>
      </c>
      <c r="G1348" t="s">
        <v>2830</v>
      </c>
      <c r="H1348" t="s">
        <v>1335</v>
      </c>
      <c r="I1348">
        <v>14</v>
      </c>
      <c r="J1348">
        <v>17200</v>
      </c>
      <c r="K1348">
        <v>17200</v>
      </c>
      <c r="L1348">
        <v>17200</v>
      </c>
      <c r="M1348">
        <v>17200</v>
      </c>
      <c r="N1348" t="s">
        <v>45</v>
      </c>
      <c r="O1348">
        <v>1</v>
      </c>
      <c r="P1348" s="3">
        <f t="shared" si="42"/>
        <v>17200</v>
      </c>
      <c r="Q1348" s="3" t="str">
        <f t="shared" si="43"/>
        <v>04574417200</v>
      </c>
      <c r="R1348" t="s">
        <v>395</v>
      </c>
    </row>
    <row r="1349" spans="1:28" hidden="1">
      <c r="A1349" t="s">
        <v>2005</v>
      </c>
      <c r="B1349" t="s">
        <v>664</v>
      </c>
      <c r="C1349" t="s">
        <v>69</v>
      </c>
      <c r="D1349" t="s">
        <v>2831</v>
      </c>
      <c r="E1349" t="s">
        <v>2065</v>
      </c>
      <c r="F1349" s="1" t="s">
        <v>2066</v>
      </c>
      <c r="G1349" t="s">
        <v>2832</v>
      </c>
      <c r="H1349" t="s">
        <v>1335</v>
      </c>
      <c r="I1349">
        <v>14</v>
      </c>
      <c r="J1349">
        <v>17600</v>
      </c>
      <c r="K1349">
        <v>17600</v>
      </c>
      <c r="L1349">
        <v>17600</v>
      </c>
      <c r="M1349">
        <v>17600</v>
      </c>
      <c r="N1349" t="s">
        <v>45</v>
      </c>
      <c r="O1349">
        <v>1</v>
      </c>
      <c r="P1349" s="3">
        <f t="shared" si="42"/>
        <v>17600</v>
      </c>
      <c r="Q1349" s="3" t="str">
        <f t="shared" si="43"/>
        <v>04575017600</v>
      </c>
      <c r="R1349" t="s">
        <v>395</v>
      </c>
    </row>
    <row r="1350" spans="1:28" hidden="1">
      <c r="A1350" t="s">
        <v>2005</v>
      </c>
      <c r="B1350" t="s">
        <v>664</v>
      </c>
      <c r="C1350" t="s">
        <v>69</v>
      </c>
      <c r="D1350" t="s">
        <v>2833</v>
      </c>
      <c r="E1350" t="s">
        <v>2445</v>
      </c>
      <c r="F1350" s="1" t="s">
        <v>2446</v>
      </c>
      <c r="G1350" t="s">
        <v>2447</v>
      </c>
      <c r="H1350" t="s">
        <v>1335</v>
      </c>
      <c r="I1350">
        <v>14</v>
      </c>
      <c r="J1350">
        <v>181.65</v>
      </c>
      <c r="K1350">
        <v>181.65</v>
      </c>
      <c r="L1350">
        <v>181.65</v>
      </c>
      <c r="M1350">
        <v>181.65</v>
      </c>
      <c r="N1350" t="s">
        <v>45</v>
      </c>
      <c r="O1350">
        <v>1</v>
      </c>
      <c r="P1350" s="3">
        <f t="shared" si="42"/>
        <v>181.65</v>
      </c>
      <c r="Q1350" s="3" t="str">
        <f t="shared" si="43"/>
        <v>G4251324181.65</v>
      </c>
    </row>
    <row r="1351" spans="1:28" hidden="1">
      <c r="A1351" t="s">
        <v>2005</v>
      </c>
      <c r="B1351" t="s">
        <v>664</v>
      </c>
      <c r="C1351" t="s">
        <v>69</v>
      </c>
      <c r="D1351" t="s">
        <v>2834</v>
      </c>
      <c r="E1351" t="s">
        <v>2572</v>
      </c>
      <c r="F1351" s="1" t="s">
        <v>2573</v>
      </c>
      <c r="G1351" t="s">
        <v>2835</v>
      </c>
      <c r="H1351" t="s">
        <v>1335</v>
      </c>
      <c r="I1351">
        <v>14</v>
      </c>
      <c r="J1351">
        <v>83360</v>
      </c>
      <c r="K1351">
        <v>83360</v>
      </c>
      <c r="L1351">
        <v>83360</v>
      </c>
      <c r="M1351">
        <v>83360</v>
      </c>
      <c r="N1351" t="s">
        <v>45</v>
      </c>
      <c r="O1351">
        <v>1</v>
      </c>
      <c r="P1351" s="3">
        <f t="shared" si="42"/>
        <v>83360</v>
      </c>
      <c r="Q1351" s="3" t="str">
        <f t="shared" si="43"/>
        <v>70039533983360</v>
      </c>
      <c r="R1351" t="s">
        <v>395</v>
      </c>
    </row>
    <row r="1352" spans="1:28" hidden="1">
      <c r="A1352" t="s">
        <v>2005</v>
      </c>
      <c r="B1352" t="s">
        <v>664</v>
      </c>
      <c r="C1352" t="s">
        <v>69</v>
      </c>
      <c r="D1352" t="s">
        <v>2836</v>
      </c>
      <c r="E1352" t="s">
        <v>2308</v>
      </c>
      <c r="F1352" s="1" t="s">
        <v>415</v>
      </c>
      <c r="G1352" t="s">
        <v>2837</v>
      </c>
      <c r="H1352" t="s">
        <v>1335</v>
      </c>
      <c r="I1352">
        <v>14</v>
      </c>
      <c r="J1352">
        <v>52.29</v>
      </c>
      <c r="K1352">
        <v>52.29</v>
      </c>
      <c r="L1352">
        <v>52.29</v>
      </c>
      <c r="M1352">
        <v>52.29</v>
      </c>
      <c r="N1352" t="s">
        <v>45</v>
      </c>
      <c r="O1352">
        <v>1</v>
      </c>
      <c r="P1352" s="3">
        <f t="shared" si="42"/>
        <v>52.29</v>
      </c>
      <c r="Q1352" s="3" t="str">
        <f t="shared" si="43"/>
        <v>USPDS17108552.29</v>
      </c>
      <c r="R1352" t="s">
        <v>202</v>
      </c>
    </row>
    <row r="1353" spans="1:28" hidden="1">
      <c r="A1353" t="s">
        <v>2005</v>
      </c>
      <c r="B1353" t="s">
        <v>664</v>
      </c>
      <c r="C1353" t="s">
        <v>69</v>
      </c>
      <c r="D1353" t="s">
        <v>2838</v>
      </c>
      <c r="E1353" t="s">
        <v>2475</v>
      </c>
      <c r="F1353" s="1" t="s">
        <v>2475</v>
      </c>
      <c r="G1353" t="s">
        <v>2839</v>
      </c>
      <c r="H1353" t="s">
        <v>1335</v>
      </c>
      <c r="I1353">
        <v>14</v>
      </c>
      <c r="J1353">
        <v>47940</v>
      </c>
      <c r="K1353">
        <v>47940</v>
      </c>
      <c r="L1353">
        <v>47940</v>
      </c>
      <c r="M1353">
        <v>47940</v>
      </c>
      <c r="N1353" t="s">
        <v>45</v>
      </c>
      <c r="O1353">
        <v>1</v>
      </c>
      <c r="P1353" s="3">
        <f t="shared" si="42"/>
        <v>47940</v>
      </c>
      <c r="Q1353" s="3" t="str">
        <f t="shared" si="43"/>
        <v>INV-000304447940</v>
      </c>
    </row>
    <row r="1354" spans="1:28" hidden="1">
      <c r="A1354" t="s">
        <v>2005</v>
      </c>
      <c r="B1354" t="s">
        <v>872</v>
      </c>
      <c r="C1354" t="s">
        <v>69</v>
      </c>
      <c r="D1354" t="s">
        <v>2840</v>
      </c>
      <c r="E1354" t="s">
        <v>2841</v>
      </c>
      <c r="F1354" s="1" t="s">
        <v>2842</v>
      </c>
      <c r="G1354" t="s">
        <v>2843</v>
      </c>
      <c r="H1354" t="s">
        <v>1335</v>
      </c>
      <c r="I1354">
        <v>14</v>
      </c>
      <c r="J1354">
        <v>86552.22</v>
      </c>
      <c r="K1354">
        <v>86552.22</v>
      </c>
      <c r="L1354">
        <v>86552.22</v>
      </c>
      <c r="M1354">
        <v>86552.22</v>
      </c>
      <c r="N1354" t="s">
        <v>45</v>
      </c>
      <c r="O1354">
        <v>1</v>
      </c>
      <c r="P1354" s="3">
        <f t="shared" si="42"/>
        <v>86552.22</v>
      </c>
      <c r="Q1354" s="3" t="str">
        <f t="shared" si="43"/>
        <v>TT06786552.22</v>
      </c>
      <c r="R1354" t="s">
        <v>2844</v>
      </c>
    </row>
    <row r="1355" spans="1:28" hidden="1">
      <c r="A1355" t="s">
        <v>2005</v>
      </c>
      <c r="B1355" t="s">
        <v>1335</v>
      </c>
      <c r="C1355" t="s">
        <v>51</v>
      </c>
      <c r="D1355" t="s">
        <v>2845</v>
      </c>
      <c r="E1355" t="s">
        <v>2846</v>
      </c>
      <c r="F1355" s="1" t="s">
        <v>2847</v>
      </c>
      <c r="G1355" t="s">
        <v>2848</v>
      </c>
      <c r="H1355" t="s">
        <v>1335</v>
      </c>
      <c r="I1355">
        <v>14</v>
      </c>
      <c r="J1355">
        <v>-450</v>
      </c>
      <c r="K1355">
        <v>-450</v>
      </c>
      <c r="L1355">
        <v>-450</v>
      </c>
      <c r="M1355">
        <v>-450</v>
      </c>
      <c r="N1355" t="s">
        <v>45</v>
      </c>
      <c r="O1355">
        <v>1</v>
      </c>
      <c r="P1355" s="3">
        <f t="shared" si="42"/>
        <v>-450</v>
      </c>
      <c r="Q1355" s="3" t="str">
        <f t="shared" si="43"/>
        <v>2025-2029-450</v>
      </c>
      <c r="AB1355" t="s">
        <v>40</v>
      </c>
    </row>
    <row r="1356" spans="1:28" hidden="1">
      <c r="A1356" t="s">
        <v>2005</v>
      </c>
      <c r="B1356" t="s">
        <v>1335</v>
      </c>
      <c r="C1356" t="s">
        <v>51</v>
      </c>
      <c r="D1356" t="s">
        <v>2849</v>
      </c>
      <c r="E1356" t="s">
        <v>2850</v>
      </c>
      <c r="F1356" s="1" t="s">
        <v>2850</v>
      </c>
      <c r="G1356" t="s">
        <v>2851</v>
      </c>
      <c r="H1356" t="s">
        <v>1335</v>
      </c>
      <c r="I1356">
        <v>14</v>
      </c>
      <c r="J1356">
        <v>-6200</v>
      </c>
      <c r="K1356">
        <v>-6200</v>
      </c>
      <c r="L1356">
        <v>-6200</v>
      </c>
      <c r="M1356">
        <v>-6200</v>
      </c>
      <c r="N1356" t="s">
        <v>45</v>
      </c>
      <c r="O1356">
        <v>1</v>
      </c>
      <c r="P1356" s="3">
        <f t="shared" si="42"/>
        <v>-6200</v>
      </c>
      <c r="Q1356" s="3" t="str">
        <f t="shared" si="43"/>
        <v>2025-2030-6200</v>
      </c>
      <c r="AB1356" t="s">
        <v>40</v>
      </c>
    </row>
    <row r="1357" spans="1:28" hidden="1">
      <c r="A1357" t="s">
        <v>2005</v>
      </c>
      <c r="B1357" t="s">
        <v>1335</v>
      </c>
      <c r="C1357" t="s">
        <v>69</v>
      </c>
      <c r="D1357" t="s">
        <v>2852</v>
      </c>
      <c r="E1357" t="s">
        <v>2292</v>
      </c>
      <c r="F1357" s="1" t="s">
        <v>2293</v>
      </c>
      <c r="G1357" t="s">
        <v>32</v>
      </c>
      <c r="H1357" t="s">
        <v>1335</v>
      </c>
      <c r="I1357">
        <v>14</v>
      </c>
      <c r="J1357">
        <v>27078.6</v>
      </c>
      <c r="K1357">
        <v>27078.6</v>
      </c>
      <c r="L1357">
        <v>27078.6</v>
      </c>
      <c r="M1357">
        <v>27078.6</v>
      </c>
      <c r="N1357" t="s">
        <v>45</v>
      </c>
      <c r="O1357">
        <v>1</v>
      </c>
      <c r="P1357" s="3">
        <f t="shared" si="42"/>
        <v>27078.6</v>
      </c>
      <c r="Q1357" s="3" t="str">
        <f t="shared" si="43"/>
        <v>3518227078.6</v>
      </c>
    </row>
    <row r="1358" spans="1:28" hidden="1">
      <c r="A1358" t="s">
        <v>2005</v>
      </c>
      <c r="B1358" t="s">
        <v>1335</v>
      </c>
      <c r="C1358" t="s">
        <v>69</v>
      </c>
      <c r="D1358" t="s">
        <v>2853</v>
      </c>
      <c r="E1358" t="s">
        <v>2704</v>
      </c>
      <c r="F1358" s="1" t="s">
        <v>2705</v>
      </c>
      <c r="G1358" t="s">
        <v>2415</v>
      </c>
      <c r="H1358" t="s">
        <v>1335</v>
      </c>
      <c r="I1358">
        <v>14</v>
      </c>
      <c r="J1358">
        <v>444.2</v>
      </c>
      <c r="K1358">
        <v>444.2</v>
      </c>
      <c r="L1358">
        <v>444.2</v>
      </c>
      <c r="M1358">
        <v>444.2</v>
      </c>
      <c r="N1358" t="s">
        <v>45</v>
      </c>
      <c r="O1358">
        <v>1</v>
      </c>
      <c r="P1358" s="3">
        <f t="shared" si="42"/>
        <v>444.2</v>
      </c>
      <c r="Q1358" s="3" t="str">
        <f t="shared" si="43"/>
        <v>989547456 01444.2</v>
      </c>
    </row>
    <row r="1359" spans="1:28" hidden="1">
      <c r="A1359" t="s">
        <v>2005</v>
      </c>
      <c r="B1359" t="s">
        <v>537</v>
      </c>
      <c r="C1359" t="s">
        <v>69</v>
      </c>
      <c r="D1359" t="s">
        <v>2854</v>
      </c>
      <c r="E1359" t="s">
        <v>2239</v>
      </c>
      <c r="F1359" s="1" t="s">
        <v>2240</v>
      </c>
      <c r="G1359" t="s">
        <v>2855</v>
      </c>
      <c r="H1359" t="s">
        <v>1350</v>
      </c>
      <c r="I1359">
        <v>13</v>
      </c>
      <c r="J1359">
        <v>1178.31</v>
      </c>
      <c r="K1359">
        <v>1178.31</v>
      </c>
      <c r="L1359">
        <v>1178.31</v>
      </c>
      <c r="M1359">
        <v>1178.31</v>
      </c>
      <c r="N1359" t="s">
        <v>45</v>
      </c>
      <c r="O1359">
        <v>1</v>
      </c>
      <c r="P1359" s="3">
        <f t="shared" si="42"/>
        <v>1178.31</v>
      </c>
      <c r="Q1359" s="3" t="str">
        <f t="shared" si="43"/>
        <v>00008041231178.31</v>
      </c>
    </row>
    <row r="1360" spans="1:28" hidden="1">
      <c r="A1360" t="s">
        <v>2005</v>
      </c>
      <c r="B1360" t="s">
        <v>687</v>
      </c>
      <c r="C1360" t="s">
        <v>69</v>
      </c>
      <c r="D1360" t="s">
        <v>2856</v>
      </c>
      <c r="E1360" t="s">
        <v>2437</v>
      </c>
      <c r="F1360" s="1" t="s">
        <v>2438</v>
      </c>
      <c r="G1360" t="s">
        <v>2439</v>
      </c>
      <c r="H1360" t="s">
        <v>1350</v>
      </c>
      <c r="I1360">
        <v>13</v>
      </c>
      <c r="J1360">
        <v>22000</v>
      </c>
      <c r="K1360">
        <v>22000</v>
      </c>
      <c r="L1360">
        <v>22000</v>
      </c>
      <c r="M1360">
        <v>22000</v>
      </c>
      <c r="N1360" t="s">
        <v>45</v>
      </c>
      <c r="O1360">
        <v>1</v>
      </c>
      <c r="P1360" s="3">
        <f t="shared" si="42"/>
        <v>22000</v>
      </c>
      <c r="Q1360" s="3" t="str">
        <f t="shared" si="43"/>
        <v>VL/25-26/22322000</v>
      </c>
      <c r="R1360" t="s">
        <v>2323</v>
      </c>
      <c r="S1360" t="s">
        <v>155</v>
      </c>
      <c r="T1360" t="s">
        <v>102</v>
      </c>
    </row>
    <row r="1361" spans="1:28" hidden="1">
      <c r="A1361" t="s">
        <v>2005</v>
      </c>
      <c r="B1361" t="s">
        <v>687</v>
      </c>
      <c r="C1361" t="s">
        <v>69</v>
      </c>
      <c r="D1361" t="s">
        <v>2857</v>
      </c>
      <c r="E1361" t="s">
        <v>2715</v>
      </c>
      <c r="F1361" s="1" t="s">
        <v>2715</v>
      </c>
      <c r="G1361" t="s">
        <v>2858</v>
      </c>
      <c r="H1361" t="s">
        <v>1350</v>
      </c>
      <c r="I1361">
        <v>13</v>
      </c>
      <c r="J1361">
        <v>16500</v>
      </c>
      <c r="K1361">
        <v>16500</v>
      </c>
      <c r="L1361">
        <v>16500</v>
      </c>
      <c r="M1361">
        <v>16500</v>
      </c>
      <c r="N1361" t="s">
        <v>45</v>
      </c>
      <c r="O1361">
        <v>1</v>
      </c>
      <c r="P1361" s="3">
        <f t="shared" si="42"/>
        <v>16500</v>
      </c>
      <c r="Q1361" s="3" t="str">
        <f t="shared" si="43"/>
        <v>FC20251206916500</v>
      </c>
      <c r="R1361" t="s">
        <v>1296</v>
      </c>
      <c r="S1361" t="s">
        <v>60</v>
      </c>
      <c r="T1361" t="s">
        <v>102</v>
      </c>
    </row>
    <row r="1362" spans="1:28" hidden="1">
      <c r="A1362" t="s">
        <v>2005</v>
      </c>
      <c r="B1362" t="s">
        <v>687</v>
      </c>
      <c r="C1362" t="s">
        <v>69</v>
      </c>
      <c r="D1362" t="s">
        <v>2859</v>
      </c>
      <c r="E1362" t="s">
        <v>2219</v>
      </c>
      <c r="F1362" s="1" t="s">
        <v>2220</v>
      </c>
      <c r="G1362" t="s">
        <v>2553</v>
      </c>
      <c r="H1362" t="s">
        <v>1350</v>
      </c>
      <c r="I1362">
        <v>13</v>
      </c>
      <c r="J1362">
        <v>19495</v>
      </c>
      <c r="K1362">
        <v>19495</v>
      </c>
      <c r="L1362">
        <v>19495</v>
      </c>
      <c r="M1362">
        <v>19495</v>
      </c>
      <c r="N1362" t="s">
        <v>45</v>
      </c>
      <c r="O1362">
        <v>1</v>
      </c>
      <c r="P1362" s="3">
        <f t="shared" si="42"/>
        <v>19495</v>
      </c>
      <c r="Q1362" s="3" t="str">
        <f t="shared" si="43"/>
        <v>TEN0000319495</v>
      </c>
    </row>
    <row r="1363" spans="1:28" hidden="1">
      <c r="A1363" t="s">
        <v>2005</v>
      </c>
      <c r="B1363" t="s">
        <v>687</v>
      </c>
      <c r="C1363" t="s">
        <v>69</v>
      </c>
      <c r="D1363" t="s">
        <v>2860</v>
      </c>
      <c r="E1363" t="s">
        <v>2861</v>
      </c>
      <c r="F1363" s="1" t="s">
        <v>2862</v>
      </c>
      <c r="G1363" t="s">
        <v>2863</v>
      </c>
      <c r="H1363" t="s">
        <v>1350</v>
      </c>
      <c r="I1363">
        <v>13</v>
      </c>
      <c r="J1363">
        <v>15000</v>
      </c>
      <c r="K1363">
        <v>15000</v>
      </c>
      <c r="L1363">
        <v>15000</v>
      </c>
      <c r="M1363">
        <v>15000</v>
      </c>
      <c r="N1363" t="s">
        <v>45</v>
      </c>
      <c r="O1363">
        <v>1</v>
      </c>
      <c r="P1363" s="3">
        <f t="shared" si="42"/>
        <v>15000</v>
      </c>
      <c r="Q1363" s="3" t="str">
        <f t="shared" si="43"/>
        <v>INV6941515000</v>
      </c>
    </row>
    <row r="1364" spans="1:28" hidden="1">
      <c r="A1364" t="s">
        <v>2005</v>
      </c>
      <c r="B1364" t="s">
        <v>687</v>
      </c>
      <c r="C1364" t="s">
        <v>69</v>
      </c>
      <c r="D1364" t="s">
        <v>2864</v>
      </c>
      <c r="E1364" t="s">
        <v>2865</v>
      </c>
      <c r="F1364" s="1" t="s">
        <v>2866</v>
      </c>
      <c r="G1364" t="s">
        <v>2867</v>
      </c>
      <c r="H1364" t="s">
        <v>1350</v>
      </c>
      <c r="I1364">
        <v>13</v>
      </c>
      <c r="J1364">
        <v>47700</v>
      </c>
      <c r="K1364">
        <v>47700</v>
      </c>
      <c r="L1364">
        <v>47700</v>
      </c>
      <c r="M1364">
        <v>47700</v>
      </c>
      <c r="N1364" t="s">
        <v>45</v>
      </c>
      <c r="O1364">
        <v>1</v>
      </c>
      <c r="P1364" s="3">
        <f t="shared" si="42"/>
        <v>47700</v>
      </c>
      <c r="Q1364" s="3" t="str">
        <f t="shared" si="43"/>
        <v>140247700</v>
      </c>
    </row>
    <row r="1365" spans="1:28" hidden="1">
      <c r="A1365" t="s">
        <v>2005</v>
      </c>
      <c r="B1365" t="s">
        <v>687</v>
      </c>
      <c r="C1365" t="s">
        <v>69</v>
      </c>
      <c r="D1365" t="s">
        <v>2868</v>
      </c>
      <c r="E1365" t="s">
        <v>2495</v>
      </c>
      <c r="F1365" s="1" t="s">
        <v>2496</v>
      </c>
      <c r="G1365" t="s">
        <v>2869</v>
      </c>
      <c r="H1365" t="s">
        <v>1350</v>
      </c>
      <c r="I1365">
        <v>13</v>
      </c>
      <c r="J1365">
        <v>780</v>
      </c>
      <c r="K1365">
        <v>780</v>
      </c>
      <c r="L1365">
        <v>780</v>
      </c>
      <c r="M1365">
        <v>780</v>
      </c>
      <c r="N1365" t="s">
        <v>45</v>
      </c>
      <c r="O1365">
        <v>1</v>
      </c>
      <c r="P1365" s="3">
        <f t="shared" si="42"/>
        <v>780</v>
      </c>
      <c r="Q1365" s="3" t="str">
        <f t="shared" si="43"/>
        <v>852932679780</v>
      </c>
      <c r="R1365" t="s">
        <v>2167</v>
      </c>
      <c r="T1365" t="s">
        <v>102</v>
      </c>
    </row>
    <row r="1366" spans="1:28" hidden="1">
      <c r="A1366" t="s">
        <v>2005</v>
      </c>
      <c r="B1366" t="s">
        <v>687</v>
      </c>
      <c r="C1366" t="s">
        <v>69</v>
      </c>
      <c r="D1366" t="s">
        <v>2870</v>
      </c>
      <c r="E1366" t="s">
        <v>2317</v>
      </c>
      <c r="F1366" s="1" t="s">
        <v>2318</v>
      </c>
      <c r="G1366" t="s">
        <v>2871</v>
      </c>
      <c r="H1366" t="s">
        <v>1350</v>
      </c>
      <c r="I1366">
        <v>13</v>
      </c>
      <c r="J1366">
        <v>639.92999999999995</v>
      </c>
      <c r="K1366">
        <v>639.92999999999995</v>
      </c>
      <c r="L1366">
        <v>639.92999999999995</v>
      </c>
      <c r="M1366">
        <v>639.92999999999995</v>
      </c>
      <c r="N1366" t="s">
        <v>45</v>
      </c>
      <c r="O1366">
        <v>1</v>
      </c>
      <c r="P1366" s="3">
        <f t="shared" si="42"/>
        <v>639.92999999999995</v>
      </c>
      <c r="Q1366" s="3" t="str">
        <f t="shared" si="43"/>
        <v>2408855437639.93</v>
      </c>
      <c r="R1366" t="s">
        <v>37</v>
      </c>
      <c r="AB1366" t="s">
        <v>85</v>
      </c>
    </row>
    <row r="1367" spans="1:28" hidden="1">
      <c r="A1367" t="s">
        <v>2005</v>
      </c>
      <c r="B1367" t="s">
        <v>687</v>
      </c>
      <c r="C1367" t="s">
        <v>69</v>
      </c>
      <c r="D1367" t="s">
        <v>2872</v>
      </c>
      <c r="E1367" t="s">
        <v>2317</v>
      </c>
      <c r="F1367" s="1" t="s">
        <v>2318</v>
      </c>
      <c r="G1367" t="s">
        <v>2871</v>
      </c>
      <c r="H1367" t="s">
        <v>1350</v>
      </c>
      <c r="I1367">
        <v>13</v>
      </c>
      <c r="J1367">
        <v>127552.14</v>
      </c>
      <c r="K1367">
        <v>127552.14</v>
      </c>
      <c r="L1367">
        <v>127552.14</v>
      </c>
      <c r="M1367">
        <v>127552.14</v>
      </c>
      <c r="N1367" t="s">
        <v>45</v>
      </c>
      <c r="O1367">
        <v>1</v>
      </c>
      <c r="P1367" s="3">
        <f t="shared" si="42"/>
        <v>127552.14</v>
      </c>
      <c r="Q1367" s="3" t="str">
        <f t="shared" si="43"/>
        <v>2408869285127552.14</v>
      </c>
      <c r="R1367" t="s">
        <v>37</v>
      </c>
      <c r="AB1367" t="s">
        <v>85</v>
      </c>
    </row>
    <row r="1368" spans="1:28" hidden="1">
      <c r="A1368" t="s">
        <v>2005</v>
      </c>
      <c r="B1368" t="s">
        <v>687</v>
      </c>
      <c r="C1368" t="s">
        <v>69</v>
      </c>
      <c r="D1368" t="s">
        <v>2873</v>
      </c>
      <c r="E1368" t="s">
        <v>2089</v>
      </c>
      <c r="F1368" s="1" t="s">
        <v>2090</v>
      </c>
      <c r="G1368" t="s">
        <v>2874</v>
      </c>
      <c r="H1368" t="s">
        <v>1350</v>
      </c>
      <c r="I1368">
        <v>13</v>
      </c>
      <c r="J1368">
        <v>746.2</v>
      </c>
      <c r="K1368">
        <v>746.2</v>
      </c>
      <c r="L1368">
        <v>746.2</v>
      </c>
      <c r="M1368">
        <v>746.2</v>
      </c>
      <c r="N1368" t="s">
        <v>45</v>
      </c>
      <c r="O1368">
        <v>1</v>
      </c>
      <c r="P1368" s="3">
        <f t="shared" si="42"/>
        <v>746.2</v>
      </c>
      <c r="Q1368" s="3" t="str">
        <f t="shared" si="43"/>
        <v>79669530746.2</v>
      </c>
      <c r="R1368" t="s">
        <v>186</v>
      </c>
    </row>
    <row r="1369" spans="1:28" hidden="1">
      <c r="A1369" t="s">
        <v>2005</v>
      </c>
      <c r="B1369" t="s">
        <v>687</v>
      </c>
      <c r="C1369" t="s">
        <v>69</v>
      </c>
      <c r="D1369" t="s">
        <v>2875</v>
      </c>
      <c r="E1369" t="s">
        <v>2098</v>
      </c>
      <c r="F1369" s="1"/>
      <c r="G1369" t="s">
        <v>2650</v>
      </c>
      <c r="H1369" t="s">
        <v>1350</v>
      </c>
      <c r="I1369">
        <v>13</v>
      </c>
      <c r="J1369">
        <v>4590</v>
      </c>
      <c r="K1369">
        <v>4590</v>
      </c>
      <c r="L1369">
        <v>4590</v>
      </c>
      <c r="M1369">
        <v>4590</v>
      </c>
      <c r="N1369" t="s">
        <v>45</v>
      </c>
      <c r="O1369">
        <v>1</v>
      </c>
      <c r="P1369" s="3">
        <f t="shared" si="42"/>
        <v>4590</v>
      </c>
      <c r="Q1369" s="3" t="str">
        <f t="shared" si="43"/>
        <v>SIN0693584590</v>
      </c>
    </row>
    <row r="1370" spans="1:28" hidden="1">
      <c r="A1370" t="s">
        <v>2005</v>
      </c>
      <c r="B1370" t="s">
        <v>1350</v>
      </c>
      <c r="C1370" t="s">
        <v>69</v>
      </c>
      <c r="D1370" t="s">
        <v>2876</v>
      </c>
      <c r="E1370" t="s">
        <v>2164</v>
      </c>
      <c r="F1370" s="1" t="s">
        <v>2165</v>
      </c>
      <c r="G1370" t="s">
        <v>2877</v>
      </c>
      <c r="H1370" t="s">
        <v>1350</v>
      </c>
      <c r="I1370">
        <v>13</v>
      </c>
      <c r="J1370">
        <v>4117.5</v>
      </c>
      <c r="K1370">
        <v>4117.5</v>
      </c>
      <c r="L1370">
        <v>4117.5</v>
      </c>
      <c r="M1370">
        <v>4117.5</v>
      </c>
      <c r="N1370" t="s">
        <v>45</v>
      </c>
      <c r="O1370">
        <v>1</v>
      </c>
      <c r="P1370" s="3">
        <f t="shared" si="42"/>
        <v>4117.5</v>
      </c>
      <c r="Q1370" s="3" t="str">
        <f t="shared" si="43"/>
        <v>23354434117.5</v>
      </c>
      <c r="R1370" t="s">
        <v>186</v>
      </c>
    </row>
    <row r="1371" spans="1:28" hidden="1">
      <c r="A1371" t="s">
        <v>2005</v>
      </c>
      <c r="B1371" t="s">
        <v>1350</v>
      </c>
      <c r="C1371" t="s">
        <v>69</v>
      </c>
      <c r="D1371" t="s">
        <v>2878</v>
      </c>
      <c r="E1371" t="s">
        <v>2132</v>
      </c>
      <c r="F1371" s="1"/>
      <c r="G1371" t="s">
        <v>2879</v>
      </c>
      <c r="H1371" t="s">
        <v>1350</v>
      </c>
      <c r="I1371">
        <v>13</v>
      </c>
      <c r="J1371">
        <v>8770</v>
      </c>
      <c r="K1371">
        <v>8770</v>
      </c>
      <c r="L1371">
        <v>8770</v>
      </c>
      <c r="M1371">
        <v>8770</v>
      </c>
      <c r="N1371" t="s">
        <v>45</v>
      </c>
      <c r="O1371">
        <v>1</v>
      </c>
      <c r="P1371" s="3">
        <f t="shared" si="42"/>
        <v>8770</v>
      </c>
      <c r="Q1371" s="3" t="str">
        <f t="shared" si="43"/>
        <v>2025-39418770</v>
      </c>
    </row>
    <row r="1372" spans="1:28" hidden="1">
      <c r="A1372" t="s">
        <v>2005</v>
      </c>
      <c r="B1372" t="s">
        <v>1350</v>
      </c>
      <c r="C1372" t="s">
        <v>69</v>
      </c>
      <c r="D1372" t="s">
        <v>2880</v>
      </c>
      <c r="E1372" t="s">
        <v>2132</v>
      </c>
      <c r="F1372" s="1"/>
      <c r="G1372" t="s">
        <v>2881</v>
      </c>
      <c r="H1372" t="s">
        <v>1350</v>
      </c>
      <c r="I1372">
        <v>13</v>
      </c>
      <c r="J1372">
        <v>8770</v>
      </c>
      <c r="K1372">
        <v>8770</v>
      </c>
      <c r="L1372">
        <v>8770</v>
      </c>
      <c r="M1372">
        <v>8770</v>
      </c>
      <c r="N1372" t="s">
        <v>45</v>
      </c>
      <c r="O1372">
        <v>1</v>
      </c>
      <c r="P1372" s="3">
        <f t="shared" si="42"/>
        <v>8770</v>
      </c>
      <c r="Q1372" s="3" t="str">
        <f t="shared" si="43"/>
        <v>2025-39438770</v>
      </c>
    </row>
    <row r="1373" spans="1:28" hidden="1">
      <c r="A1373" t="s">
        <v>2005</v>
      </c>
      <c r="B1373" t="s">
        <v>1350</v>
      </c>
      <c r="C1373" t="s">
        <v>69</v>
      </c>
      <c r="D1373" t="s">
        <v>2882</v>
      </c>
      <c r="E1373" t="s">
        <v>2132</v>
      </c>
      <c r="F1373" s="1"/>
      <c r="G1373" t="s">
        <v>2883</v>
      </c>
      <c r="H1373" t="s">
        <v>1350</v>
      </c>
      <c r="I1373">
        <v>13</v>
      </c>
      <c r="J1373">
        <v>9820</v>
      </c>
      <c r="K1373">
        <v>9820</v>
      </c>
      <c r="L1373">
        <v>9820</v>
      </c>
      <c r="M1373">
        <v>9820</v>
      </c>
      <c r="N1373" t="s">
        <v>45</v>
      </c>
      <c r="O1373">
        <v>1</v>
      </c>
      <c r="P1373" s="3">
        <f t="shared" si="42"/>
        <v>9820</v>
      </c>
      <c r="Q1373" s="3" t="str">
        <f t="shared" si="43"/>
        <v>2025-39449820</v>
      </c>
    </row>
    <row r="1374" spans="1:28" hidden="1">
      <c r="A1374" t="s">
        <v>2005</v>
      </c>
      <c r="B1374" t="s">
        <v>1350</v>
      </c>
      <c r="C1374" t="s">
        <v>69</v>
      </c>
      <c r="D1374" t="s">
        <v>2884</v>
      </c>
      <c r="E1374" t="s">
        <v>2132</v>
      </c>
      <c r="F1374" s="1"/>
      <c r="G1374" t="s">
        <v>2885</v>
      </c>
      <c r="H1374" t="s">
        <v>1350</v>
      </c>
      <c r="I1374">
        <v>13</v>
      </c>
      <c r="J1374">
        <v>8770</v>
      </c>
      <c r="K1374">
        <v>8770</v>
      </c>
      <c r="L1374">
        <v>8770</v>
      </c>
      <c r="M1374">
        <v>8770</v>
      </c>
      <c r="N1374" t="s">
        <v>45</v>
      </c>
      <c r="O1374">
        <v>1</v>
      </c>
      <c r="P1374" s="3">
        <f t="shared" si="42"/>
        <v>8770</v>
      </c>
      <c r="Q1374" s="3" t="str">
        <f t="shared" si="43"/>
        <v>2025-39468770</v>
      </c>
    </row>
    <row r="1375" spans="1:28" hidden="1">
      <c r="A1375" t="s">
        <v>2005</v>
      </c>
      <c r="B1375" t="s">
        <v>710</v>
      </c>
      <c r="C1375" t="s">
        <v>69</v>
      </c>
      <c r="D1375" t="s">
        <v>2886</v>
      </c>
      <c r="E1375" t="s">
        <v>2613</v>
      </c>
      <c r="F1375" s="1" t="s">
        <v>2614</v>
      </c>
      <c r="G1375" t="s">
        <v>2887</v>
      </c>
      <c r="H1375" t="s">
        <v>1369</v>
      </c>
      <c r="I1375">
        <v>12</v>
      </c>
      <c r="J1375">
        <v>7750</v>
      </c>
      <c r="K1375">
        <v>7750</v>
      </c>
      <c r="L1375">
        <v>7750</v>
      </c>
      <c r="M1375">
        <v>7750</v>
      </c>
      <c r="N1375" t="s">
        <v>45</v>
      </c>
      <c r="O1375">
        <v>1</v>
      </c>
      <c r="P1375" s="3">
        <f t="shared" si="42"/>
        <v>7750</v>
      </c>
      <c r="Q1375" s="3" t="str">
        <f t="shared" si="43"/>
        <v>INV28992697750</v>
      </c>
      <c r="R1375" t="s">
        <v>2435</v>
      </c>
      <c r="AB1375" t="s">
        <v>445</v>
      </c>
    </row>
    <row r="1376" spans="1:28" hidden="1">
      <c r="A1376" t="s">
        <v>2005</v>
      </c>
      <c r="B1376" t="s">
        <v>710</v>
      </c>
      <c r="C1376" t="s">
        <v>69</v>
      </c>
      <c r="D1376" t="s">
        <v>2888</v>
      </c>
      <c r="E1376" t="s">
        <v>2411</v>
      </c>
      <c r="F1376" s="1" t="s">
        <v>2412</v>
      </c>
      <c r="G1376" t="s">
        <v>2889</v>
      </c>
      <c r="H1376" t="s">
        <v>1369</v>
      </c>
      <c r="I1376">
        <v>12</v>
      </c>
      <c r="J1376">
        <v>14070.81</v>
      </c>
      <c r="K1376">
        <v>14070.81</v>
      </c>
      <c r="L1376">
        <v>14070.81</v>
      </c>
      <c r="M1376">
        <v>14070.81</v>
      </c>
      <c r="N1376" t="s">
        <v>45</v>
      </c>
      <c r="O1376">
        <v>1</v>
      </c>
      <c r="P1376" s="3">
        <f t="shared" si="42"/>
        <v>14070.81</v>
      </c>
      <c r="Q1376" s="3" t="str">
        <f t="shared" si="43"/>
        <v>INV11018256314070.81</v>
      </c>
      <c r="R1376" t="s">
        <v>2765</v>
      </c>
      <c r="AB1376" t="s">
        <v>445</v>
      </c>
    </row>
    <row r="1377" spans="1:30" s="12" customFormat="1" hidden="1">
      <c r="A1377" s="12" t="s">
        <v>2005</v>
      </c>
      <c r="B1377" s="12" t="s">
        <v>1028</v>
      </c>
      <c r="C1377" s="12" t="s">
        <v>69</v>
      </c>
      <c r="D1377" s="12" t="s">
        <v>2890</v>
      </c>
      <c r="E1377" s="12" t="s">
        <v>2566</v>
      </c>
      <c r="F1377" s="1"/>
      <c r="G1377" s="12" t="s">
        <v>2891</v>
      </c>
      <c r="H1377" s="12" t="s">
        <v>1369</v>
      </c>
      <c r="I1377" s="12">
        <v>12</v>
      </c>
      <c r="J1377" s="12">
        <v>5684</v>
      </c>
      <c r="K1377" s="12">
        <v>5684</v>
      </c>
      <c r="L1377" s="12">
        <v>5684</v>
      </c>
      <c r="M1377" s="12">
        <v>5684</v>
      </c>
      <c r="N1377" s="12" t="s">
        <v>45</v>
      </c>
      <c r="O1377" s="12">
        <v>1</v>
      </c>
      <c r="P1377" s="3">
        <f t="shared" si="42"/>
        <v>5684</v>
      </c>
      <c r="Q1377" s="3" t="str">
        <f t="shared" si="43"/>
        <v>305684</v>
      </c>
      <c r="R1377"/>
      <c r="S1377"/>
      <c r="U1377"/>
      <c r="V1377"/>
      <c r="W1377"/>
      <c r="X1377"/>
      <c r="Y1377"/>
      <c r="Z1377"/>
      <c r="AA1377"/>
    </row>
    <row r="1378" spans="1:30" hidden="1">
      <c r="A1378" t="s">
        <v>2005</v>
      </c>
      <c r="B1378" t="s">
        <v>1028</v>
      </c>
      <c r="C1378" t="s">
        <v>69</v>
      </c>
      <c r="D1378" t="s">
        <v>2892</v>
      </c>
      <c r="E1378" t="s">
        <v>2102</v>
      </c>
      <c r="F1378" s="1" t="s">
        <v>2103</v>
      </c>
      <c r="G1378" t="s">
        <v>2893</v>
      </c>
      <c r="H1378" t="s">
        <v>1369</v>
      </c>
      <c r="I1378">
        <v>12</v>
      </c>
      <c r="J1378">
        <v>7500</v>
      </c>
      <c r="K1378">
        <v>7500</v>
      </c>
      <c r="L1378">
        <v>7500</v>
      </c>
      <c r="M1378">
        <v>7500</v>
      </c>
      <c r="N1378" t="s">
        <v>45</v>
      </c>
      <c r="O1378">
        <v>1</v>
      </c>
      <c r="P1378" s="3">
        <f t="shared" si="42"/>
        <v>7500</v>
      </c>
      <c r="Q1378" s="3" t="str">
        <f t="shared" si="43"/>
        <v>251826327500</v>
      </c>
      <c r="AB1378" t="s">
        <v>445</v>
      </c>
    </row>
    <row r="1379" spans="1:30" hidden="1">
      <c r="A1379" t="s">
        <v>2005</v>
      </c>
      <c r="B1379" t="s">
        <v>1369</v>
      </c>
      <c r="C1379" t="s">
        <v>69</v>
      </c>
      <c r="D1379" t="s">
        <v>2894</v>
      </c>
      <c r="E1379" t="s">
        <v>2501</v>
      </c>
      <c r="F1379" s="1" t="s">
        <v>2502</v>
      </c>
      <c r="G1379" t="s">
        <v>2895</v>
      </c>
      <c r="H1379" t="s">
        <v>1369</v>
      </c>
      <c r="I1379">
        <v>12</v>
      </c>
      <c r="J1379">
        <v>71.5</v>
      </c>
      <c r="K1379">
        <v>71.5</v>
      </c>
      <c r="L1379">
        <v>71.5</v>
      </c>
      <c r="M1379">
        <v>71.5</v>
      </c>
      <c r="N1379" t="s">
        <v>45</v>
      </c>
      <c r="O1379">
        <v>1</v>
      </c>
      <c r="P1379" s="3">
        <f t="shared" si="42"/>
        <v>71.5</v>
      </c>
      <c r="Q1379" s="3" t="str">
        <f t="shared" si="43"/>
        <v>S2023728-012671.5</v>
      </c>
      <c r="R1379" t="s">
        <v>1191</v>
      </c>
      <c r="AB1379" t="s">
        <v>445</v>
      </c>
    </row>
    <row r="1380" spans="1:30" hidden="1">
      <c r="A1380" t="s">
        <v>2005</v>
      </c>
      <c r="B1380" t="s">
        <v>1369</v>
      </c>
      <c r="C1380" t="s">
        <v>69</v>
      </c>
      <c r="D1380" t="s">
        <v>2896</v>
      </c>
      <c r="E1380" t="s">
        <v>2897</v>
      </c>
      <c r="F1380" s="1"/>
      <c r="G1380" t="s">
        <v>2898</v>
      </c>
      <c r="H1380" t="s">
        <v>1369</v>
      </c>
      <c r="I1380">
        <v>12</v>
      </c>
      <c r="J1380">
        <v>5500</v>
      </c>
      <c r="K1380">
        <v>5500</v>
      </c>
      <c r="L1380">
        <v>5500</v>
      </c>
      <c r="M1380">
        <v>5500</v>
      </c>
      <c r="N1380" t="s">
        <v>45</v>
      </c>
      <c r="O1380">
        <v>1</v>
      </c>
      <c r="P1380" s="3">
        <f t="shared" si="42"/>
        <v>5500</v>
      </c>
      <c r="Q1380" s="3" t="str">
        <f t="shared" si="43"/>
        <v>20251023-0015500</v>
      </c>
    </row>
    <row r="1381" spans="1:30" hidden="1">
      <c r="A1381" t="s">
        <v>2005</v>
      </c>
      <c r="B1381" t="s">
        <v>746</v>
      </c>
      <c r="C1381" t="s">
        <v>69</v>
      </c>
      <c r="D1381" t="s">
        <v>2899</v>
      </c>
      <c r="E1381" t="s">
        <v>2086</v>
      </c>
      <c r="F1381" s="1" t="s">
        <v>585</v>
      </c>
      <c r="G1381" t="s">
        <v>2415</v>
      </c>
      <c r="H1381" t="s">
        <v>1403</v>
      </c>
      <c r="I1381">
        <v>11</v>
      </c>
      <c r="J1381">
        <v>153.07</v>
      </c>
      <c r="K1381">
        <v>153.07</v>
      </c>
      <c r="L1381">
        <v>153.07</v>
      </c>
      <c r="M1381">
        <v>153.07</v>
      </c>
      <c r="N1381" t="s">
        <v>45</v>
      </c>
      <c r="O1381">
        <v>1</v>
      </c>
      <c r="P1381" s="3">
        <f t="shared" si="42"/>
        <v>153.07</v>
      </c>
      <c r="Q1381" s="3" t="str">
        <f t="shared" si="43"/>
        <v>195628006 01153.07</v>
      </c>
      <c r="R1381" t="s">
        <v>758</v>
      </c>
      <c r="S1381" t="s">
        <v>60</v>
      </c>
      <c r="AB1381" t="s">
        <v>1404</v>
      </c>
      <c r="AD1381" t="s">
        <v>2899</v>
      </c>
    </row>
    <row r="1382" spans="1:30" hidden="1">
      <c r="A1382" t="s">
        <v>2005</v>
      </c>
      <c r="B1382" t="s">
        <v>1403</v>
      </c>
      <c r="C1382" t="s">
        <v>69</v>
      </c>
      <c r="D1382" t="s">
        <v>2900</v>
      </c>
      <c r="E1382" t="s">
        <v>2901</v>
      </c>
      <c r="F1382" s="1" t="s">
        <v>2902</v>
      </c>
      <c r="G1382" t="s">
        <v>2903</v>
      </c>
      <c r="H1382" t="s">
        <v>1403</v>
      </c>
      <c r="I1382">
        <v>11</v>
      </c>
      <c r="J1382">
        <v>14531.96</v>
      </c>
      <c r="K1382">
        <v>14531.959392000001</v>
      </c>
      <c r="L1382">
        <v>52198.13</v>
      </c>
      <c r="M1382">
        <v>52198.13</v>
      </c>
      <c r="N1382" t="s">
        <v>2904</v>
      </c>
      <c r="O1382">
        <v>0.27839999999999998</v>
      </c>
      <c r="P1382" s="3">
        <f t="shared" si="42"/>
        <v>52198.13</v>
      </c>
      <c r="Q1382" s="3" t="str">
        <f t="shared" si="43"/>
        <v>20260000042752198.13</v>
      </c>
      <c r="R1382" t="s">
        <v>202</v>
      </c>
      <c r="AB1382" t="s">
        <v>1404</v>
      </c>
    </row>
    <row r="1383" spans="1:30" hidden="1">
      <c r="A1383" t="s">
        <v>2005</v>
      </c>
      <c r="B1383" t="s">
        <v>761</v>
      </c>
      <c r="C1383" t="s">
        <v>69</v>
      </c>
      <c r="D1383" t="s">
        <v>2905</v>
      </c>
      <c r="E1383" t="s">
        <v>2906</v>
      </c>
      <c r="F1383" s="1" t="s">
        <v>2907</v>
      </c>
      <c r="G1383" t="s">
        <v>2908</v>
      </c>
      <c r="H1383" t="s">
        <v>1434</v>
      </c>
      <c r="I1383">
        <v>10</v>
      </c>
      <c r="J1383">
        <v>77263.44</v>
      </c>
      <c r="K1383">
        <v>77263.44</v>
      </c>
      <c r="L1383">
        <v>77263.44</v>
      </c>
      <c r="M1383">
        <v>77263.44</v>
      </c>
      <c r="N1383" t="s">
        <v>45</v>
      </c>
      <c r="O1383">
        <v>1</v>
      </c>
      <c r="P1383" s="3">
        <f t="shared" si="42"/>
        <v>77263.44</v>
      </c>
      <c r="Q1383" s="3" t="str">
        <f t="shared" si="43"/>
        <v>MC3380909977263.44</v>
      </c>
      <c r="R1383" t="s">
        <v>37</v>
      </c>
      <c r="AB1383" t="s">
        <v>1404</v>
      </c>
    </row>
    <row r="1384" spans="1:30" hidden="1">
      <c r="A1384" t="s">
        <v>2005</v>
      </c>
      <c r="B1384" t="s">
        <v>1072</v>
      </c>
      <c r="C1384" t="s">
        <v>69</v>
      </c>
      <c r="D1384" t="s">
        <v>2909</v>
      </c>
      <c r="E1384" t="s">
        <v>2770</v>
      </c>
      <c r="F1384" s="1" t="s">
        <v>2771</v>
      </c>
      <c r="G1384" t="s">
        <v>2772</v>
      </c>
      <c r="H1384" t="s">
        <v>1434</v>
      </c>
      <c r="I1384">
        <v>10</v>
      </c>
      <c r="J1384">
        <v>5000</v>
      </c>
      <c r="K1384">
        <v>5000</v>
      </c>
      <c r="L1384">
        <v>5000</v>
      </c>
      <c r="M1384">
        <v>5000</v>
      </c>
      <c r="N1384" t="s">
        <v>45</v>
      </c>
      <c r="O1384">
        <v>1</v>
      </c>
      <c r="P1384" s="3">
        <f t="shared" si="42"/>
        <v>5000</v>
      </c>
      <c r="Q1384" s="3" t="str">
        <f t="shared" si="43"/>
        <v>1082078845000</v>
      </c>
      <c r="R1384" t="s">
        <v>2435</v>
      </c>
      <c r="AB1384" t="s">
        <v>1404</v>
      </c>
    </row>
    <row r="1385" spans="1:30" hidden="1">
      <c r="A1385" t="s">
        <v>2005</v>
      </c>
      <c r="B1385" t="s">
        <v>780</v>
      </c>
      <c r="C1385" t="s">
        <v>69</v>
      </c>
      <c r="D1385" t="s">
        <v>2910</v>
      </c>
      <c r="E1385" t="s">
        <v>2260</v>
      </c>
      <c r="F1385" s="1" t="s">
        <v>2261</v>
      </c>
      <c r="G1385" t="s">
        <v>2911</v>
      </c>
      <c r="H1385" t="s">
        <v>1452</v>
      </c>
      <c r="I1385">
        <v>9</v>
      </c>
      <c r="J1385">
        <v>49696.36</v>
      </c>
      <c r="K1385">
        <v>49696.36</v>
      </c>
      <c r="L1385">
        <v>49696.36</v>
      </c>
      <c r="M1385">
        <v>49696.36</v>
      </c>
      <c r="N1385" t="s">
        <v>45</v>
      </c>
      <c r="O1385">
        <v>1</v>
      </c>
      <c r="P1385" s="3">
        <f t="shared" si="42"/>
        <v>49696.36</v>
      </c>
      <c r="Q1385" s="3" t="str">
        <f t="shared" si="43"/>
        <v>B2056922949696.36</v>
      </c>
      <c r="R1385" t="s">
        <v>59</v>
      </c>
      <c r="S1385" t="s">
        <v>60</v>
      </c>
      <c r="T1385" t="s">
        <v>102</v>
      </c>
      <c r="AB1385" t="s">
        <v>1404</v>
      </c>
    </row>
    <row r="1386" spans="1:30" hidden="1">
      <c r="A1386" t="s">
        <v>2005</v>
      </c>
      <c r="B1386" t="s">
        <v>780</v>
      </c>
      <c r="C1386" t="s">
        <v>69</v>
      </c>
      <c r="D1386" t="s">
        <v>2912</v>
      </c>
      <c r="E1386" t="s">
        <v>2581</v>
      </c>
      <c r="F1386" s="1" t="s">
        <v>2582</v>
      </c>
      <c r="G1386" t="s">
        <v>2913</v>
      </c>
      <c r="H1386" t="s">
        <v>1452</v>
      </c>
      <c r="I1386">
        <v>9</v>
      </c>
      <c r="J1386">
        <v>1350</v>
      </c>
      <c r="K1386">
        <v>1350</v>
      </c>
      <c r="L1386">
        <v>1350</v>
      </c>
      <c r="M1386">
        <v>1350</v>
      </c>
      <c r="N1386" t="s">
        <v>45</v>
      </c>
      <c r="O1386">
        <v>1</v>
      </c>
      <c r="P1386" s="3">
        <f t="shared" si="42"/>
        <v>1350</v>
      </c>
      <c r="Q1386" s="3" t="str">
        <f t="shared" si="43"/>
        <v>38351350</v>
      </c>
      <c r="R1386" t="s">
        <v>186</v>
      </c>
      <c r="AB1386" t="s">
        <v>1404</v>
      </c>
    </row>
    <row r="1387" spans="1:30" hidden="1">
      <c r="A1387" t="s">
        <v>2005</v>
      </c>
      <c r="B1387" t="s">
        <v>1487</v>
      </c>
      <c r="C1387" t="s">
        <v>69</v>
      </c>
      <c r="D1387" t="s">
        <v>2914</v>
      </c>
      <c r="E1387" t="s">
        <v>2605</v>
      </c>
      <c r="F1387" s="1"/>
      <c r="G1387" t="s">
        <v>2915</v>
      </c>
      <c r="H1387" t="s">
        <v>1487</v>
      </c>
      <c r="I1387">
        <v>8</v>
      </c>
      <c r="J1387">
        <v>4450</v>
      </c>
      <c r="K1387">
        <v>4450</v>
      </c>
      <c r="L1387">
        <v>4450</v>
      </c>
      <c r="M1387">
        <v>4450</v>
      </c>
      <c r="N1387" t="s">
        <v>45</v>
      </c>
      <c r="O1387">
        <v>1</v>
      </c>
      <c r="P1387" s="3">
        <f t="shared" si="42"/>
        <v>4450</v>
      </c>
      <c r="Q1387" s="3" t="str">
        <f t="shared" si="43"/>
        <v>657790154450</v>
      </c>
    </row>
    <row r="1388" spans="1:30" hidden="1">
      <c r="A1388" t="s">
        <v>2005</v>
      </c>
      <c r="B1388" t="s">
        <v>1487</v>
      </c>
      <c r="C1388" t="s">
        <v>69</v>
      </c>
      <c r="D1388" t="s">
        <v>2916</v>
      </c>
      <c r="E1388" t="s">
        <v>2098</v>
      </c>
      <c r="F1388" s="1"/>
      <c r="G1388" t="s">
        <v>2650</v>
      </c>
      <c r="H1388" t="s">
        <v>1487</v>
      </c>
      <c r="I1388">
        <v>8</v>
      </c>
      <c r="J1388">
        <v>10390</v>
      </c>
      <c r="K1388">
        <v>10390</v>
      </c>
      <c r="L1388">
        <v>10390</v>
      </c>
      <c r="M1388">
        <v>10390</v>
      </c>
      <c r="N1388" t="s">
        <v>45</v>
      </c>
      <c r="O1388">
        <v>1</v>
      </c>
      <c r="P1388" s="3">
        <f t="shared" si="42"/>
        <v>10390</v>
      </c>
      <c r="Q1388" s="3" t="str">
        <f t="shared" si="43"/>
        <v>SIN06994910390</v>
      </c>
    </row>
    <row r="1389" spans="1:30" hidden="1">
      <c r="A1389" t="s">
        <v>2005</v>
      </c>
      <c r="B1389" t="s">
        <v>1487</v>
      </c>
      <c r="C1389" t="s">
        <v>69</v>
      </c>
      <c r="D1389" t="s">
        <v>2917</v>
      </c>
      <c r="E1389" t="s">
        <v>2098</v>
      </c>
      <c r="F1389" s="1"/>
      <c r="G1389" t="s">
        <v>2650</v>
      </c>
      <c r="H1389" t="s">
        <v>1487</v>
      </c>
      <c r="I1389">
        <v>8</v>
      </c>
      <c r="J1389">
        <v>8175</v>
      </c>
      <c r="K1389">
        <v>8175</v>
      </c>
      <c r="L1389">
        <v>8175</v>
      </c>
      <c r="M1389">
        <v>8175</v>
      </c>
      <c r="N1389" t="s">
        <v>45</v>
      </c>
      <c r="O1389">
        <v>1</v>
      </c>
      <c r="P1389" s="3">
        <f t="shared" si="42"/>
        <v>8175</v>
      </c>
      <c r="Q1389" s="3" t="str">
        <f t="shared" si="43"/>
        <v>SIN0698278175</v>
      </c>
    </row>
    <row r="1390" spans="1:30" hidden="1">
      <c r="A1390" t="s">
        <v>2005</v>
      </c>
      <c r="B1390" t="s">
        <v>851</v>
      </c>
      <c r="C1390" t="s">
        <v>69</v>
      </c>
      <c r="D1390" t="s">
        <v>2918</v>
      </c>
      <c r="E1390" t="s">
        <v>2704</v>
      </c>
      <c r="F1390" s="1" t="s">
        <v>2705</v>
      </c>
      <c r="G1390" t="s">
        <v>2919</v>
      </c>
      <c r="H1390" t="s">
        <v>1506</v>
      </c>
      <c r="I1390">
        <v>6</v>
      </c>
      <c r="J1390">
        <v>99.51</v>
      </c>
      <c r="K1390">
        <v>99.51</v>
      </c>
      <c r="L1390">
        <v>99.51</v>
      </c>
      <c r="M1390">
        <v>99.51</v>
      </c>
      <c r="N1390" t="s">
        <v>45</v>
      </c>
      <c r="O1390">
        <v>1</v>
      </c>
      <c r="P1390" s="3">
        <f t="shared" si="42"/>
        <v>99.51</v>
      </c>
      <c r="Q1390" s="3" t="str">
        <f t="shared" si="43"/>
        <v>195633637 0199.51</v>
      </c>
      <c r="AB1390" t="s">
        <v>1404</v>
      </c>
    </row>
    <row r="1391" spans="1:30" hidden="1">
      <c r="A1391" t="s">
        <v>2005</v>
      </c>
      <c r="B1391" t="s">
        <v>851</v>
      </c>
      <c r="C1391" t="s">
        <v>69</v>
      </c>
      <c r="D1391" t="s">
        <v>2920</v>
      </c>
      <c r="E1391" t="s">
        <v>2308</v>
      </c>
      <c r="F1391" s="1" t="s">
        <v>415</v>
      </c>
      <c r="G1391" t="s">
        <v>2921</v>
      </c>
      <c r="H1391" t="s">
        <v>1506</v>
      </c>
      <c r="I1391">
        <v>6</v>
      </c>
      <c r="J1391">
        <v>14040</v>
      </c>
      <c r="K1391">
        <v>14040</v>
      </c>
      <c r="L1391">
        <v>14040</v>
      </c>
      <c r="M1391">
        <v>14040</v>
      </c>
      <c r="N1391" t="s">
        <v>45</v>
      </c>
      <c r="O1391">
        <v>1</v>
      </c>
      <c r="P1391" s="3">
        <f t="shared" si="42"/>
        <v>14040</v>
      </c>
      <c r="Q1391" s="3" t="str">
        <f t="shared" si="43"/>
        <v>USPDS17163814040</v>
      </c>
      <c r="R1391" t="s">
        <v>202</v>
      </c>
      <c r="AB1391" t="s">
        <v>1404</v>
      </c>
    </row>
    <row r="1392" spans="1:30" hidden="1">
      <c r="A1392" t="s">
        <v>2005</v>
      </c>
      <c r="B1392" t="s">
        <v>851</v>
      </c>
      <c r="C1392" t="s">
        <v>69</v>
      </c>
      <c r="D1392" t="s">
        <v>2922</v>
      </c>
      <c r="E1392" t="s">
        <v>2308</v>
      </c>
      <c r="F1392" s="1" t="s">
        <v>415</v>
      </c>
      <c r="G1392" t="s">
        <v>2923</v>
      </c>
      <c r="H1392" t="s">
        <v>1506</v>
      </c>
      <c r="I1392">
        <v>6</v>
      </c>
      <c r="J1392">
        <v>15400</v>
      </c>
      <c r="K1392">
        <v>15400</v>
      </c>
      <c r="L1392">
        <v>15400</v>
      </c>
      <c r="M1392">
        <v>15400</v>
      </c>
      <c r="N1392" t="s">
        <v>45</v>
      </c>
      <c r="O1392">
        <v>1</v>
      </c>
      <c r="P1392" s="3">
        <f t="shared" si="42"/>
        <v>15400</v>
      </c>
      <c r="Q1392" s="3" t="str">
        <f t="shared" si="43"/>
        <v>USPDS17205115400</v>
      </c>
      <c r="R1392" t="s">
        <v>202</v>
      </c>
      <c r="AB1392" t="s">
        <v>1404</v>
      </c>
    </row>
    <row r="1393" spans="1:28" hidden="1">
      <c r="A1393" t="s">
        <v>2005</v>
      </c>
      <c r="B1393" t="s">
        <v>851</v>
      </c>
      <c r="C1393" t="s">
        <v>69</v>
      </c>
      <c r="D1393" t="s">
        <v>2924</v>
      </c>
      <c r="E1393" t="s">
        <v>2308</v>
      </c>
      <c r="F1393" s="1" t="s">
        <v>415</v>
      </c>
      <c r="G1393" t="s">
        <v>2925</v>
      </c>
      <c r="H1393" t="s">
        <v>1506</v>
      </c>
      <c r="I1393">
        <v>6</v>
      </c>
      <c r="J1393">
        <v>8200</v>
      </c>
      <c r="K1393">
        <v>8200</v>
      </c>
      <c r="L1393">
        <v>8200</v>
      </c>
      <c r="M1393">
        <v>8200</v>
      </c>
      <c r="N1393" t="s">
        <v>45</v>
      </c>
      <c r="O1393">
        <v>1</v>
      </c>
      <c r="P1393" s="3">
        <f t="shared" si="42"/>
        <v>8200</v>
      </c>
      <c r="Q1393" s="3" t="str">
        <f t="shared" si="43"/>
        <v>USPDS1720408200</v>
      </c>
      <c r="R1393" t="s">
        <v>202</v>
      </c>
      <c r="AB1393" t="s">
        <v>1404</v>
      </c>
    </row>
    <row r="1394" spans="1:28" hidden="1">
      <c r="A1394" t="s">
        <v>2005</v>
      </c>
      <c r="B1394" t="s">
        <v>851</v>
      </c>
      <c r="C1394" t="s">
        <v>69</v>
      </c>
      <c r="D1394" t="s">
        <v>2926</v>
      </c>
      <c r="E1394" t="s">
        <v>2098</v>
      </c>
      <c r="F1394" s="1"/>
      <c r="G1394" t="s">
        <v>2650</v>
      </c>
      <c r="H1394" t="s">
        <v>1506</v>
      </c>
      <c r="I1394">
        <v>6</v>
      </c>
      <c r="J1394">
        <v>11292.5</v>
      </c>
      <c r="K1394">
        <v>11292.5</v>
      </c>
      <c r="L1394">
        <v>11292.5</v>
      </c>
      <c r="M1394">
        <v>11292.5</v>
      </c>
      <c r="N1394" t="s">
        <v>45</v>
      </c>
      <c r="O1394">
        <v>1</v>
      </c>
      <c r="P1394" s="3">
        <f t="shared" si="42"/>
        <v>11292.5</v>
      </c>
      <c r="Q1394" s="3" t="str">
        <f t="shared" si="43"/>
        <v>SIN06945111292.5</v>
      </c>
    </row>
    <row r="1395" spans="1:28" hidden="1">
      <c r="A1395" t="s">
        <v>2005</v>
      </c>
      <c r="B1395" t="s">
        <v>851</v>
      </c>
      <c r="C1395" t="s">
        <v>69</v>
      </c>
      <c r="D1395" t="s">
        <v>2927</v>
      </c>
      <c r="E1395" t="s">
        <v>2098</v>
      </c>
      <c r="F1395" s="1"/>
      <c r="G1395" t="s">
        <v>2652</v>
      </c>
      <c r="H1395" t="s">
        <v>1506</v>
      </c>
      <c r="I1395">
        <v>6</v>
      </c>
      <c r="J1395">
        <v>277.5</v>
      </c>
      <c r="K1395">
        <v>277.5</v>
      </c>
      <c r="L1395">
        <v>277.5</v>
      </c>
      <c r="M1395">
        <v>277.5</v>
      </c>
      <c r="N1395" t="s">
        <v>45</v>
      </c>
      <c r="O1395">
        <v>1</v>
      </c>
      <c r="P1395" s="3">
        <f t="shared" si="42"/>
        <v>277.5</v>
      </c>
      <c r="Q1395" s="3" t="str">
        <f t="shared" si="43"/>
        <v>SIN069450277.5</v>
      </c>
    </row>
    <row r="1396" spans="1:28" hidden="1">
      <c r="A1396" t="s">
        <v>2005</v>
      </c>
      <c r="B1396" t="s">
        <v>555</v>
      </c>
      <c r="C1396" t="s">
        <v>69</v>
      </c>
      <c r="D1396" t="s">
        <v>2928</v>
      </c>
      <c r="E1396" t="s">
        <v>2215</v>
      </c>
      <c r="F1396" s="1" t="s">
        <v>2216</v>
      </c>
      <c r="G1396" t="s">
        <v>2929</v>
      </c>
      <c r="H1396" t="s">
        <v>1531</v>
      </c>
      <c r="I1396">
        <v>5</v>
      </c>
      <c r="J1396">
        <v>56050</v>
      </c>
      <c r="K1396">
        <v>56050</v>
      </c>
      <c r="L1396">
        <v>56050</v>
      </c>
      <c r="M1396">
        <v>56050</v>
      </c>
      <c r="N1396" t="s">
        <v>45</v>
      </c>
      <c r="O1396">
        <v>1</v>
      </c>
      <c r="P1396" s="3">
        <f t="shared" ref="P1396:P1460" si="44">IF(N1396="CAD",$P$1,1)*M1396</f>
        <v>56050</v>
      </c>
      <c r="Q1396" s="3" t="str">
        <f t="shared" ref="Q1396:Q1460" si="45">D1396&amp;M1396</f>
        <v>TENINC-25-26-0256050</v>
      </c>
      <c r="R1396" t="s">
        <v>395</v>
      </c>
      <c r="S1396" t="s">
        <v>2429</v>
      </c>
      <c r="AB1396" t="s">
        <v>1404</v>
      </c>
    </row>
    <row r="1397" spans="1:28" hidden="1">
      <c r="A1397" t="s">
        <v>2005</v>
      </c>
      <c r="B1397" t="s">
        <v>854</v>
      </c>
      <c r="C1397" t="s">
        <v>69</v>
      </c>
      <c r="D1397" t="s">
        <v>2930</v>
      </c>
      <c r="E1397" t="s">
        <v>2704</v>
      </c>
      <c r="F1397" s="1" t="s">
        <v>2705</v>
      </c>
      <c r="G1397" t="s">
        <v>2415</v>
      </c>
      <c r="H1397" t="s">
        <v>1531</v>
      </c>
      <c r="I1397">
        <v>5</v>
      </c>
      <c r="J1397">
        <v>7448.59</v>
      </c>
      <c r="K1397">
        <v>7448.59</v>
      </c>
      <c r="L1397">
        <v>7448.59</v>
      </c>
      <c r="M1397">
        <v>7448.59</v>
      </c>
      <c r="N1397" t="s">
        <v>45</v>
      </c>
      <c r="O1397">
        <v>1</v>
      </c>
      <c r="P1397" s="3">
        <f t="shared" si="44"/>
        <v>7448.59</v>
      </c>
      <c r="Q1397" s="3" t="str">
        <f t="shared" si="45"/>
        <v>195630631 017448.59</v>
      </c>
      <c r="AB1397" t="s">
        <v>1404</v>
      </c>
    </row>
    <row r="1398" spans="1:28">
      <c r="A1398" t="s">
        <v>2005</v>
      </c>
      <c r="B1398" t="s">
        <v>1487</v>
      </c>
      <c r="C1398" t="s">
        <v>69</v>
      </c>
      <c r="D1398" t="s">
        <v>2931</v>
      </c>
      <c r="E1398" t="s">
        <v>2367</v>
      </c>
      <c r="F1398" s="1"/>
      <c r="G1398" t="s">
        <v>2932</v>
      </c>
      <c r="H1398" t="s">
        <v>1487</v>
      </c>
      <c r="I1398">
        <v>8</v>
      </c>
      <c r="J1398">
        <v>17124.32</v>
      </c>
      <c r="K1398">
        <v>17124.32</v>
      </c>
      <c r="L1398">
        <v>17124.32</v>
      </c>
      <c r="M1398">
        <v>17124.32</v>
      </c>
      <c r="N1398" t="s">
        <v>45</v>
      </c>
      <c r="O1398">
        <v>1</v>
      </c>
      <c r="P1398" s="3">
        <f>IF(N1398="CAD",$P$1,1)*M1398</f>
        <v>17124.32</v>
      </c>
      <c r="Q1398" s="3" t="str">
        <f>D1398&amp;M1398</f>
        <v>8750417124.32</v>
      </c>
    </row>
    <row r="1399" spans="1:28">
      <c r="A1399" t="s">
        <v>2005</v>
      </c>
      <c r="B1399" t="s">
        <v>1316</v>
      </c>
      <c r="C1399" t="s">
        <v>69</v>
      </c>
      <c r="D1399" t="s">
        <v>2933</v>
      </c>
      <c r="E1399" t="s">
        <v>2367</v>
      </c>
      <c r="F1399" s="1" t="s">
        <v>2368</v>
      </c>
      <c r="G1399" t="s">
        <v>2934</v>
      </c>
      <c r="H1399" t="s">
        <v>1531</v>
      </c>
      <c r="I1399">
        <v>5</v>
      </c>
      <c r="J1399">
        <v>146427.51999999999</v>
      </c>
      <c r="K1399">
        <v>146427.51999999999</v>
      </c>
      <c r="L1399">
        <v>146427.51999999999</v>
      </c>
      <c r="M1399">
        <v>146427.51999999999</v>
      </c>
      <c r="N1399" t="s">
        <v>45</v>
      </c>
      <c r="O1399">
        <v>1</v>
      </c>
      <c r="P1399" s="3">
        <f t="shared" si="44"/>
        <v>146427.51999999999</v>
      </c>
      <c r="Q1399" s="3" t="str">
        <f t="shared" si="45"/>
        <v>119662146427.52</v>
      </c>
      <c r="R1399" t="s">
        <v>202</v>
      </c>
      <c r="AB1399" t="s">
        <v>1404</v>
      </c>
    </row>
    <row r="1400" spans="1:28" hidden="1">
      <c r="A1400" t="s">
        <v>2005</v>
      </c>
      <c r="B1400" t="s">
        <v>872</v>
      </c>
      <c r="C1400" t="s">
        <v>69</v>
      </c>
      <c r="D1400" t="s">
        <v>2935</v>
      </c>
      <c r="E1400" t="s">
        <v>2704</v>
      </c>
      <c r="F1400" s="1" t="s">
        <v>2705</v>
      </c>
      <c r="G1400" t="s">
        <v>2415</v>
      </c>
      <c r="H1400" t="s">
        <v>1562</v>
      </c>
      <c r="I1400">
        <v>4</v>
      </c>
      <c r="J1400">
        <v>4507.3999999999996</v>
      </c>
      <c r="K1400">
        <v>4507.3999999999996</v>
      </c>
      <c r="L1400">
        <v>4507.3999999999996</v>
      </c>
      <c r="M1400">
        <v>4507.3999999999996</v>
      </c>
      <c r="N1400" t="s">
        <v>45</v>
      </c>
      <c r="O1400">
        <v>1</v>
      </c>
      <c r="P1400" s="3">
        <f t="shared" si="44"/>
        <v>4507.3999999999996</v>
      </c>
      <c r="Q1400" s="3" t="str">
        <f t="shared" si="45"/>
        <v>195631340 014507.4</v>
      </c>
      <c r="AB1400" t="s">
        <v>1404</v>
      </c>
    </row>
    <row r="1401" spans="1:28" hidden="1">
      <c r="A1401" t="s">
        <v>2005</v>
      </c>
      <c r="B1401" t="s">
        <v>872</v>
      </c>
      <c r="C1401" t="s">
        <v>69</v>
      </c>
      <c r="D1401" t="s">
        <v>2936</v>
      </c>
      <c r="E1401" t="s">
        <v>2937</v>
      </c>
      <c r="F1401" s="1" t="s">
        <v>2938</v>
      </c>
      <c r="G1401" t="s">
        <v>2939</v>
      </c>
      <c r="H1401" t="s">
        <v>1562</v>
      </c>
      <c r="I1401">
        <v>4</v>
      </c>
      <c r="J1401">
        <v>4489.8100000000004</v>
      </c>
      <c r="K1401">
        <v>4489.8086400000002</v>
      </c>
      <c r="L1401">
        <v>3840</v>
      </c>
      <c r="M1401">
        <v>3840</v>
      </c>
      <c r="N1401" t="s">
        <v>601</v>
      </c>
      <c r="O1401">
        <v>1.1692210000000001</v>
      </c>
      <c r="P1401" s="3">
        <f t="shared" si="44"/>
        <v>3840</v>
      </c>
      <c r="Q1401" s="3" t="str">
        <f t="shared" si="45"/>
        <v>5/11/20253840</v>
      </c>
      <c r="R1401" t="s">
        <v>395</v>
      </c>
      <c r="AB1401" t="s">
        <v>1404</v>
      </c>
    </row>
    <row r="1402" spans="1:28" hidden="1">
      <c r="A1402" t="s">
        <v>2005</v>
      </c>
      <c r="B1402" t="s">
        <v>1562</v>
      </c>
      <c r="C1402" t="s">
        <v>69</v>
      </c>
      <c r="D1402" t="s">
        <v>2940</v>
      </c>
      <c r="E1402" t="s">
        <v>2941</v>
      </c>
      <c r="F1402" s="1"/>
      <c r="G1402" t="s">
        <v>2942</v>
      </c>
      <c r="H1402" t="s">
        <v>1562</v>
      </c>
      <c r="I1402">
        <v>4</v>
      </c>
      <c r="J1402">
        <v>4950</v>
      </c>
      <c r="K1402">
        <v>4950</v>
      </c>
      <c r="L1402">
        <v>4950</v>
      </c>
      <c r="M1402">
        <v>4950</v>
      </c>
      <c r="N1402" t="s">
        <v>45</v>
      </c>
      <c r="O1402">
        <v>1</v>
      </c>
      <c r="P1402" s="3">
        <f t="shared" si="44"/>
        <v>4950</v>
      </c>
      <c r="Q1402" s="3" t="str">
        <f t="shared" si="45"/>
        <v>0104950</v>
      </c>
    </row>
    <row r="1403" spans="1:28" hidden="1">
      <c r="A1403" t="s">
        <v>2005</v>
      </c>
      <c r="B1403" t="s">
        <v>439</v>
      </c>
      <c r="C1403" t="s">
        <v>69</v>
      </c>
      <c r="D1403" t="s">
        <v>2943</v>
      </c>
      <c r="E1403" t="s">
        <v>2944</v>
      </c>
      <c r="F1403" s="1" t="s">
        <v>2945</v>
      </c>
      <c r="G1403" t="s">
        <v>2946</v>
      </c>
      <c r="H1403" t="s">
        <v>1583</v>
      </c>
      <c r="I1403">
        <v>3</v>
      </c>
      <c r="J1403">
        <v>92617.279999999999</v>
      </c>
      <c r="K1403">
        <v>92617.279999999999</v>
      </c>
      <c r="L1403">
        <v>80000</v>
      </c>
      <c r="M1403">
        <v>80000</v>
      </c>
      <c r="N1403" t="s">
        <v>601</v>
      </c>
      <c r="O1403">
        <v>1.157716</v>
      </c>
      <c r="P1403" s="3">
        <f t="shared" si="44"/>
        <v>80000</v>
      </c>
      <c r="Q1403" s="3" t="str">
        <f t="shared" si="45"/>
        <v>108/0080000</v>
      </c>
      <c r="R1403" t="s">
        <v>2253</v>
      </c>
      <c r="S1403" t="s">
        <v>60</v>
      </c>
      <c r="T1403" t="s">
        <v>102</v>
      </c>
      <c r="AB1403" t="s">
        <v>1404</v>
      </c>
    </row>
    <row r="1404" spans="1:28" hidden="1">
      <c r="A1404" t="s">
        <v>2005</v>
      </c>
      <c r="B1404" t="s">
        <v>895</v>
      </c>
      <c r="C1404" t="s">
        <v>69</v>
      </c>
      <c r="D1404" t="s">
        <v>2947</v>
      </c>
      <c r="E1404" t="s">
        <v>2704</v>
      </c>
      <c r="F1404" s="1" t="s">
        <v>2705</v>
      </c>
      <c r="G1404" t="s">
        <v>2948</v>
      </c>
      <c r="H1404" t="s">
        <v>1583</v>
      </c>
      <c r="I1404">
        <v>3</v>
      </c>
      <c r="J1404">
        <v>114.28</v>
      </c>
      <c r="K1404">
        <v>114.28</v>
      </c>
      <c r="L1404">
        <v>114.28</v>
      </c>
      <c r="M1404">
        <v>114.28</v>
      </c>
      <c r="N1404" t="s">
        <v>45</v>
      </c>
      <c r="O1404">
        <v>1</v>
      </c>
      <c r="P1404" s="3">
        <f t="shared" si="44"/>
        <v>114.28</v>
      </c>
      <c r="Q1404" s="3" t="str">
        <f t="shared" si="45"/>
        <v>195630576 01114.28</v>
      </c>
      <c r="AB1404" t="s">
        <v>1404</v>
      </c>
    </row>
    <row r="1405" spans="1:28" hidden="1">
      <c r="A1405" t="s">
        <v>2005</v>
      </c>
      <c r="B1405" t="s">
        <v>895</v>
      </c>
      <c r="C1405" t="s">
        <v>69</v>
      </c>
      <c r="D1405" t="s">
        <v>1596</v>
      </c>
      <c r="E1405" t="s">
        <v>2308</v>
      </c>
      <c r="F1405" s="1" t="s">
        <v>415</v>
      </c>
      <c r="G1405" t="s">
        <v>2949</v>
      </c>
      <c r="H1405" t="s">
        <v>1583</v>
      </c>
      <c r="I1405">
        <v>3</v>
      </c>
      <c r="J1405">
        <v>8000</v>
      </c>
      <c r="K1405">
        <v>8000</v>
      </c>
      <c r="L1405">
        <v>8000</v>
      </c>
      <c r="M1405">
        <v>8000</v>
      </c>
      <c r="N1405" t="s">
        <v>45</v>
      </c>
      <c r="O1405">
        <v>1</v>
      </c>
      <c r="P1405" s="3">
        <f t="shared" si="44"/>
        <v>8000</v>
      </c>
      <c r="Q1405" s="3" t="str">
        <f t="shared" si="45"/>
        <v>USPDS1726808000</v>
      </c>
      <c r="R1405" t="s">
        <v>202</v>
      </c>
      <c r="AB1405" t="s">
        <v>1404</v>
      </c>
    </row>
    <row r="1406" spans="1:28" hidden="1">
      <c r="A1406" t="s">
        <v>2005</v>
      </c>
      <c r="B1406" t="s">
        <v>918</v>
      </c>
      <c r="C1406" t="s">
        <v>69</v>
      </c>
      <c r="D1406" t="s">
        <v>2950</v>
      </c>
      <c r="E1406" t="s">
        <v>2123</v>
      </c>
      <c r="F1406" s="1" t="s">
        <v>2124</v>
      </c>
      <c r="G1406" t="s">
        <v>2951</v>
      </c>
      <c r="H1406" t="s">
        <v>1609</v>
      </c>
      <c r="I1406">
        <v>2</v>
      </c>
      <c r="J1406">
        <v>21157.5</v>
      </c>
      <c r="K1406">
        <v>21157.5</v>
      </c>
      <c r="L1406">
        <v>21157.5</v>
      </c>
      <c r="M1406">
        <v>21157.5</v>
      </c>
      <c r="N1406" t="s">
        <v>45</v>
      </c>
      <c r="O1406">
        <v>1</v>
      </c>
      <c r="P1406" s="3">
        <f t="shared" si="44"/>
        <v>21157.5</v>
      </c>
      <c r="Q1406" s="3" t="str">
        <f t="shared" si="45"/>
        <v>1104121157.5</v>
      </c>
      <c r="R1406" t="s">
        <v>399</v>
      </c>
      <c r="AB1406" t="s">
        <v>1404</v>
      </c>
    </row>
    <row r="1407" spans="1:28" hidden="1">
      <c r="A1407" t="s">
        <v>2005</v>
      </c>
      <c r="B1407" t="s">
        <v>918</v>
      </c>
      <c r="C1407" t="s">
        <v>69</v>
      </c>
      <c r="D1407" t="s">
        <v>2952</v>
      </c>
      <c r="E1407" t="s">
        <v>2123</v>
      </c>
      <c r="F1407" s="1" t="s">
        <v>2124</v>
      </c>
      <c r="G1407" t="s">
        <v>2953</v>
      </c>
      <c r="H1407" t="s">
        <v>1609</v>
      </c>
      <c r="I1407">
        <v>2</v>
      </c>
      <c r="J1407">
        <v>28080</v>
      </c>
      <c r="K1407">
        <v>28080</v>
      </c>
      <c r="L1407">
        <v>28080</v>
      </c>
      <c r="M1407">
        <v>28080</v>
      </c>
      <c r="N1407" t="s">
        <v>45</v>
      </c>
      <c r="O1407">
        <v>1</v>
      </c>
      <c r="P1407" s="3">
        <f t="shared" si="44"/>
        <v>28080</v>
      </c>
      <c r="Q1407" s="3" t="str">
        <f t="shared" si="45"/>
        <v>1104028080</v>
      </c>
      <c r="R1407" t="s">
        <v>2954</v>
      </c>
      <c r="AB1407" t="s">
        <v>1404</v>
      </c>
    </row>
    <row r="1408" spans="1:28" hidden="1">
      <c r="A1408" t="s">
        <v>2005</v>
      </c>
      <c r="B1408" t="s">
        <v>918</v>
      </c>
      <c r="C1408" t="s">
        <v>69</v>
      </c>
      <c r="D1408" t="s">
        <v>2955</v>
      </c>
      <c r="E1408" t="s">
        <v>2123</v>
      </c>
      <c r="F1408" s="1" t="s">
        <v>2124</v>
      </c>
      <c r="G1408" t="s">
        <v>2956</v>
      </c>
      <c r="H1408" t="s">
        <v>1609</v>
      </c>
      <c r="I1408">
        <v>2</v>
      </c>
      <c r="J1408">
        <v>21060</v>
      </c>
      <c r="K1408">
        <v>21060</v>
      </c>
      <c r="L1408">
        <v>21060</v>
      </c>
      <c r="M1408">
        <v>21060</v>
      </c>
      <c r="N1408" t="s">
        <v>45</v>
      </c>
      <c r="O1408">
        <v>1</v>
      </c>
      <c r="P1408" s="3">
        <f t="shared" si="44"/>
        <v>21060</v>
      </c>
      <c r="Q1408" s="3" t="str">
        <f t="shared" si="45"/>
        <v>1104221060</v>
      </c>
      <c r="R1408" t="s">
        <v>146</v>
      </c>
      <c r="AB1408" t="s">
        <v>1404</v>
      </c>
    </row>
    <row r="1409" spans="1:28" hidden="1">
      <c r="A1409" t="s">
        <v>2005</v>
      </c>
      <c r="B1409" t="s">
        <v>918</v>
      </c>
      <c r="C1409" t="s">
        <v>69</v>
      </c>
      <c r="D1409" t="s">
        <v>2957</v>
      </c>
      <c r="E1409" t="s">
        <v>2123</v>
      </c>
      <c r="F1409" s="1" t="s">
        <v>2124</v>
      </c>
      <c r="G1409" t="s">
        <v>2958</v>
      </c>
      <c r="H1409" t="s">
        <v>1609</v>
      </c>
      <c r="I1409">
        <v>2</v>
      </c>
      <c r="J1409">
        <v>29640</v>
      </c>
      <c r="K1409">
        <v>29640</v>
      </c>
      <c r="L1409">
        <v>29640</v>
      </c>
      <c r="M1409">
        <v>29640</v>
      </c>
      <c r="N1409" t="s">
        <v>45</v>
      </c>
      <c r="O1409">
        <v>1</v>
      </c>
      <c r="P1409" s="3">
        <f t="shared" si="44"/>
        <v>29640</v>
      </c>
      <c r="Q1409" s="3" t="str">
        <f t="shared" si="45"/>
        <v>1104329640</v>
      </c>
      <c r="R1409" t="s">
        <v>2959</v>
      </c>
      <c r="S1409" t="s">
        <v>60</v>
      </c>
      <c r="AB1409" t="s">
        <v>1404</v>
      </c>
    </row>
    <row r="1410" spans="1:28" hidden="1">
      <c r="A1410" t="s">
        <v>2005</v>
      </c>
      <c r="B1410" t="s">
        <v>918</v>
      </c>
      <c r="C1410" t="s">
        <v>69</v>
      </c>
      <c r="D1410" t="s">
        <v>2960</v>
      </c>
      <c r="E1410" t="s">
        <v>2906</v>
      </c>
      <c r="F1410" s="1" t="s">
        <v>2907</v>
      </c>
      <c r="G1410" t="s">
        <v>2961</v>
      </c>
      <c r="H1410" t="s">
        <v>1609</v>
      </c>
      <c r="I1410">
        <v>2</v>
      </c>
      <c r="J1410">
        <v>119.08</v>
      </c>
      <c r="K1410">
        <v>119.08</v>
      </c>
      <c r="L1410">
        <v>119.08</v>
      </c>
      <c r="M1410">
        <v>119.08</v>
      </c>
      <c r="N1410" t="s">
        <v>45</v>
      </c>
      <c r="O1410">
        <v>1</v>
      </c>
      <c r="P1410" s="3">
        <f t="shared" si="44"/>
        <v>119.08</v>
      </c>
      <c r="Q1410" s="3" t="str">
        <f t="shared" si="45"/>
        <v>MC36064887119.08</v>
      </c>
      <c r="R1410" t="s">
        <v>37</v>
      </c>
      <c r="AB1410" t="s">
        <v>1404</v>
      </c>
    </row>
    <row r="1411" spans="1:28" hidden="1">
      <c r="A1411" t="s">
        <v>2005</v>
      </c>
      <c r="B1411" t="s">
        <v>1350</v>
      </c>
      <c r="C1411" t="s">
        <v>69</v>
      </c>
      <c r="D1411" t="s">
        <v>2962</v>
      </c>
      <c r="E1411" t="s">
        <v>2613</v>
      </c>
      <c r="F1411" s="1"/>
      <c r="G1411" t="s">
        <v>32</v>
      </c>
      <c r="H1411" t="s">
        <v>1609</v>
      </c>
      <c r="I1411">
        <v>2</v>
      </c>
      <c r="J1411">
        <v>409810.62</v>
      </c>
      <c r="K1411">
        <v>409810.62</v>
      </c>
      <c r="L1411">
        <v>409810.62</v>
      </c>
      <c r="M1411">
        <v>409810.62</v>
      </c>
      <c r="N1411" t="s">
        <v>45</v>
      </c>
      <c r="O1411">
        <v>1</v>
      </c>
      <c r="P1411" s="3">
        <f t="shared" si="44"/>
        <v>409810.62</v>
      </c>
      <c r="Q1411" s="3" t="str">
        <f t="shared" si="45"/>
        <v>20251231NavanUSD409810.62</v>
      </c>
    </row>
    <row r="1412" spans="1:28" hidden="1">
      <c r="A1412" t="s">
        <v>2005</v>
      </c>
      <c r="B1412" t="s">
        <v>1617</v>
      </c>
      <c r="C1412" t="s">
        <v>69</v>
      </c>
      <c r="D1412" t="s">
        <v>2963</v>
      </c>
      <c r="E1412" t="s">
        <v>2964</v>
      </c>
      <c r="F1412" s="1"/>
      <c r="G1412" t="s">
        <v>2965</v>
      </c>
      <c r="H1412" t="s">
        <v>1617</v>
      </c>
      <c r="I1412">
        <v>1</v>
      </c>
      <c r="J1412">
        <v>4295</v>
      </c>
      <c r="K1412">
        <v>4295</v>
      </c>
      <c r="L1412">
        <v>4295</v>
      </c>
      <c r="M1412">
        <v>4295</v>
      </c>
      <c r="N1412" t="s">
        <v>45</v>
      </c>
      <c r="O1412">
        <v>1</v>
      </c>
      <c r="P1412" s="3">
        <f t="shared" si="44"/>
        <v>4295</v>
      </c>
      <c r="Q1412" s="3" t="str">
        <f t="shared" si="45"/>
        <v>INV-58814295</v>
      </c>
    </row>
    <row r="1413" spans="1:28" hidden="1">
      <c r="A1413" t="s">
        <v>2005</v>
      </c>
      <c r="B1413" t="s">
        <v>1497</v>
      </c>
      <c r="C1413" t="s">
        <v>69</v>
      </c>
      <c r="D1413" t="s">
        <v>2966</v>
      </c>
      <c r="E1413" t="s">
        <v>2967</v>
      </c>
      <c r="F1413" s="1"/>
      <c r="G1413" t="s">
        <v>2968</v>
      </c>
      <c r="H1413" t="s">
        <v>1629</v>
      </c>
      <c r="I1413">
        <v>0</v>
      </c>
      <c r="J1413">
        <v>2590</v>
      </c>
      <c r="K1413">
        <v>2590</v>
      </c>
      <c r="L1413">
        <v>2590</v>
      </c>
      <c r="M1413">
        <v>2590</v>
      </c>
      <c r="N1413" t="s">
        <v>45</v>
      </c>
      <c r="O1413">
        <v>1</v>
      </c>
      <c r="P1413" s="3">
        <f t="shared" si="44"/>
        <v>2590</v>
      </c>
      <c r="Q1413" s="3" t="str">
        <f t="shared" si="45"/>
        <v>INV2600012590</v>
      </c>
    </row>
    <row r="1414" spans="1:28" hidden="1">
      <c r="A1414" t="s">
        <v>2005</v>
      </c>
      <c r="B1414" t="s">
        <v>995</v>
      </c>
      <c r="C1414" t="s">
        <v>69</v>
      </c>
      <c r="D1414" t="s">
        <v>2969</v>
      </c>
      <c r="E1414" t="s">
        <v>2625</v>
      </c>
      <c r="F1414" s="1" t="s">
        <v>2626</v>
      </c>
      <c r="G1414" t="s">
        <v>2970</v>
      </c>
      <c r="H1414" t="s">
        <v>1647</v>
      </c>
      <c r="I1414">
        <v>-1</v>
      </c>
      <c r="J1414">
        <v>10000</v>
      </c>
      <c r="K1414">
        <v>10000</v>
      </c>
      <c r="L1414">
        <v>10000</v>
      </c>
      <c r="M1414">
        <v>10000</v>
      </c>
      <c r="N1414" t="s">
        <v>45</v>
      </c>
      <c r="O1414">
        <v>1</v>
      </c>
      <c r="P1414" s="3">
        <f t="shared" si="44"/>
        <v>10000</v>
      </c>
      <c r="Q1414" s="3" t="str">
        <f t="shared" si="45"/>
        <v>356210000</v>
      </c>
      <c r="R1414" t="s">
        <v>2844</v>
      </c>
    </row>
    <row r="1415" spans="1:28" hidden="1">
      <c r="A1415" t="s">
        <v>2005</v>
      </c>
      <c r="B1415" t="s">
        <v>995</v>
      </c>
      <c r="C1415" t="s">
        <v>69</v>
      </c>
      <c r="D1415" t="s">
        <v>2971</v>
      </c>
      <c r="E1415" t="s">
        <v>2230</v>
      </c>
      <c r="F1415" s="1" t="s">
        <v>2231</v>
      </c>
      <c r="G1415" t="s">
        <v>2795</v>
      </c>
      <c r="H1415" t="s">
        <v>1647</v>
      </c>
      <c r="I1415">
        <v>-1</v>
      </c>
      <c r="J1415">
        <v>3053.69</v>
      </c>
      <c r="K1415">
        <v>3053.6913455099998</v>
      </c>
      <c r="L1415">
        <v>2598.5700000000002</v>
      </c>
      <c r="M1415">
        <v>2598.5700000000002</v>
      </c>
      <c r="N1415" t="s">
        <v>601</v>
      </c>
      <c r="O1415">
        <v>1.175143</v>
      </c>
      <c r="P1415" s="3">
        <f t="shared" si="44"/>
        <v>2598.5700000000002</v>
      </c>
      <c r="Q1415" s="3" t="str">
        <f t="shared" si="45"/>
        <v>IESI3001912598.57</v>
      </c>
    </row>
    <row r="1416" spans="1:28" hidden="1">
      <c r="A1416" t="s">
        <v>2005</v>
      </c>
      <c r="B1416" t="s">
        <v>1006</v>
      </c>
      <c r="C1416" t="s">
        <v>69</v>
      </c>
      <c r="D1416" t="s">
        <v>2972</v>
      </c>
      <c r="E1416" t="s">
        <v>2803</v>
      </c>
      <c r="F1416" s="1" t="s">
        <v>2804</v>
      </c>
      <c r="G1416" t="s">
        <v>2973</v>
      </c>
      <c r="H1416" t="s">
        <v>1663</v>
      </c>
      <c r="I1416">
        <v>-2</v>
      </c>
      <c r="J1416">
        <v>7450.88</v>
      </c>
      <c r="K1416">
        <v>7450.88</v>
      </c>
      <c r="L1416">
        <v>7450.88</v>
      </c>
      <c r="M1416">
        <v>7450.88</v>
      </c>
      <c r="N1416" t="s">
        <v>45</v>
      </c>
      <c r="O1416">
        <v>1</v>
      </c>
      <c r="P1416" s="3">
        <f t="shared" si="44"/>
        <v>7450.88</v>
      </c>
      <c r="Q1416" s="3" t="str">
        <f t="shared" si="45"/>
        <v>M1702945-IN7450.88</v>
      </c>
      <c r="R1416" t="s">
        <v>1191</v>
      </c>
    </row>
    <row r="1417" spans="1:28" hidden="1">
      <c r="A1417" t="s">
        <v>2005</v>
      </c>
      <c r="B1417" t="s">
        <v>1006</v>
      </c>
      <c r="C1417" t="s">
        <v>69</v>
      </c>
      <c r="D1417" t="s">
        <v>2974</v>
      </c>
      <c r="E1417" t="s">
        <v>2251</v>
      </c>
      <c r="F1417" s="1"/>
      <c r="G1417" t="s">
        <v>2975</v>
      </c>
      <c r="H1417" t="s">
        <v>1663</v>
      </c>
      <c r="I1417">
        <v>-2</v>
      </c>
      <c r="J1417">
        <v>60000</v>
      </c>
      <c r="K1417">
        <v>60000</v>
      </c>
      <c r="L1417">
        <v>60000</v>
      </c>
      <c r="M1417">
        <v>60000</v>
      </c>
      <c r="N1417" t="s">
        <v>45</v>
      </c>
      <c r="O1417">
        <v>1</v>
      </c>
      <c r="P1417" s="3">
        <f t="shared" si="44"/>
        <v>60000</v>
      </c>
      <c r="Q1417" s="3" t="str">
        <f t="shared" si="45"/>
        <v>CLASIC25120160000</v>
      </c>
    </row>
    <row r="1418" spans="1:28" s="12" customFormat="1" hidden="1">
      <c r="A1418" s="12" t="s">
        <v>2005</v>
      </c>
      <c r="B1418" s="12" t="s">
        <v>1350</v>
      </c>
      <c r="C1418" s="12" t="s">
        <v>69</v>
      </c>
      <c r="D1418" s="12" t="s">
        <v>2976</v>
      </c>
      <c r="E1418" s="12" t="s">
        <v>2566</v>
      </c>
      <c r="F1418" s="1" t="s">
        <v>2977</v>
      </c>
      <c r="G1418" s="12" t="s">
        <v>2978</v>
      </c>
      <c r="H1418" s="12" t="s">
        <v>1663</v>
      </c>
      <c r="I1418" s="12">
        <v>-2</v>
      </c>
      <c r="J1418" s="12">
        <v>3654</v>
      </c>
      <c r="K1418" s="12">
        <v>3654</v>
      </c>
      <c r="L1418" s="12">
        <v>3654</v>
      </c>
      <c r="M1418" s="12">
        <v>3654</v>
      </c>
      <c r="N1418" s="12" t="s">
        <v>45</v>
      </c>
      <c r="O1418" s="12">
        <v>1</v>
      </c>
      <c r="P1418" s="3">
        <f t="shared" si="44"/>
        <v>3654</v>
      </c>
      <c r="Q1418" s="3" t="str">
        <f t="shared" si="45"/>
        <v>313654</v>
      </c>
      <c r="R1418" t="s">
        <v>2979</v>
      </c>
      <c r="S1418"/>
      <c r="U1418"/>
      <c r="V1418"/>
      <c r="W1418"/>
      <c r="X1418"/>
      <c r="Y1418"/>
      <c r="Z1418"/>
      <c r="AA1418"/>
    </row>
    <row r="1419" spans="1:28" hidden="1">
      <c r="A1419" t="s">
        <v>2005</v>
      </c>
      <c r="B1419" t="s">
        <v>1028</v>
      </c>
      <c r="C1419" t="s">
        <v>69</v>
      </c>
      <c r="D1419" t="s">
        <v>2980</v>
      </c>
      <c r="E1419" t="s">
        <v>2188</v>
      </c>
      <c r="F1419" s="1" t="s">
        <v>2189</v>
      </c>
      <c r="G1419" t="s">
        <v>2981</v>
      </c>
      <c r="H1419" t="s">
        <v>1685</v>
      </c>
      <c r="I1419">
        <v>-3</v>
      </c>
      <c r="J1419">
        <v>9977.7000000000007</v>
      </c>
      <c r="K1419">
        <v>9977.6995000000006</v>
      </c>
      <c r="L1419">
        <v>8500</v>
      </c>
      <c r="M1419">
        <v>8500</v>
      </c>
      <c r="N1419" t="s">
        <v>601</v>
      </c>
      <c r="O1419">
        <v>1.1738470000000001</v>
      </c>
      <c r="P1419" s="3">
        <f t="shared" si="44"/>
        <v>8500</v>
      </c>
      <c r="Q1419" s="3" t="str">
        <f t="shared" si="45"/>
        <v>25037978500</v>
      </c>
      <c r="R1419" t="s">
        <v>2435</v>
      </c>
    </row>
    <row r="1420" spans="1:28" hidden="1">
      <c r="A1420" t="s">
        <v>2005</v>
      </c>
      <c r="B1420" t="s">
        <v>1028</v>
      </c>
      <c r="C1420" t="s">
        <v>69</v>
      </c>
      <c r="D1420" t="s">
        <v>2982</v>
      </c>
      <c r="E1420" t="s">
        <v>2188</v>
      </c>
      <c r="F1420" s="1" t="s">
        <v>2189</v>
      </c>
      <c r="G1420" t="s">
        <v>2983</v>
      </c>
      <c r="H1420" t="s">
        <v>1685</v>
      </c>
      <c r="I1420">
        <v>-3</v>
      </c>
      <c r="J1420">
        <v>17.440000000000001</v>
      </c>
      <c r="K1420">
        <v>17.44336642</v>
      </c>
      <c r="L1420">
        <v>14.86</v>
      </c>
      <c r="M1420">
        <v>14.86</v>
      </c>
      <c r="N1420" t="s">
        <v>601</v>
      </c>
      <c r="O1420">
        <v>1.1738470000000001</v>
      </c>
      <c r="P1420" s="3">
        <f t="shared" si="44"/>
        <v>14.86</v>
      </c>
      <c r="Q1420" s="3" t="str">
        <f t="shared" si="45"/>
        <v>250377014.86</v>
      </c>
      <c r="R1420" t="s">
        <v>2435</v>
      </c>
    </row>
    <row r="1421" spans="1:28" hidden="1">
      <c r="A1421" t="s">
        <v>2005</v>
      </c>
      <c r="B1421" t="s">
        <v>1028</v>
      </c>
      <c r="C1421" t="s">
        <v>69</v>
      </c>
      <c r="D1421" t="s">
        <v>2984</v>
      </c>
      <c r="E1421" t="s">
        <v>2906</v>
      </c>
      <c r="F1421" s="1" t="s">
        <v>2907</v>
      </c>
      <c r="G1421" t="s">
        <v>2985</v>
      </c>
      <c r="H1421" t="s">
        <v>1685</v>
      </c>
      <c r="I1421">
        <v>-3</v>
      </c>
      <c r="J1421">
        <v>46358.06</v>
      </c>
      <c r="K1421">
        <v>46358.06</v>
      </c>
      <c r="L1421">
        <v>46358.06</v>
      </c>
      <c r="M1421">
        <v>46358.06</v>
      </c>
      <c r="N1421" t="s">
        <v>45</v>
      </c>
      <c r="O1421">
        <v>1</v>
      </c>
      <c r="P1421" s="3">
        <f t="shared" si="44"/>
        <v>46358.06</v>
      </c>
      <c r="Q1421" s="3" t="str">
        <f t="shared" si="45"/>
        <v>MC3758531046358.06</v>
      </c>
      <c r="R1421" t="s">
        <v>37</v>
      </c>
    </row>
    <row r="1422" spans="1:28" hidden="1">
      <c r="A1422" t="s">
        <v>2005</v>
      </c>
      <c r="B1422" t="s">
        <v>1028</v>
      </c>
      <c r="C1422" t="s">
        <v>69</v>
      </c>
      <c r="D1422" t="s">
        <v>2986</v>
      </c>
      <c r="E1422" t="s">
        <v>2356</v>
      </c>
      <c r="F1422" s="1" t="s">
        <v>2357</v>
      </c>
      <c r="G1422" t="s">
        <v>2987</v>
      </c>
      <c r="H1422" t="s">
        <v>1685</v>
      </c>
      <c r="I1422">
        <v>-3</v>
      </c>
      <c r="J1422">
        <v>13950.45</v>
      </c>
      <c r="K1422">
        <v>13950.45</v>
      </c>
      <c r="L1422">
        <v>13950.45</v>
      </c>
      <c r="M1422">
        <v>13950.45</v>
      </c>
      <c r="N1422" t="s">
        <v>45</v>
      </c>
      <c r="O1422">
        <v>1</v>
      </c>
      <c r="P1422" s="3">
        <f t="shared" si="44"/>
        <v>13950.45</v>
      </c>
      <c r="Q1422" s="3" t="str">
        <f t="shared" si="45"/>
        <v>402635913950.45</v>
      </c>
    </row>
    <row r="1423" spans="1:28" hidden="1">
      <c r="A1423" t="s">
        <v>2005</v>
      </c>
      <c r="B1423" t="s">
        <v>1055</v>
      </c>
      <c r="C1423" t="s">
        <v>69</v>
      </c>
      <c r="D1423" t="s">
        <v>2988</v>
      </c>
      <c r="E1423" t="s">
        <v>2704</v>
      </c>
      <c r="F1423" s="1" t="s">
        <v>2705</v>
      </c>
      <c r="G1423" t="s">
        <v>2989</v>
      </c>
      <c r="H1423" t="s">
        <v>1712</v>
      </c>
      <c r="I1423">
        <v>-4</v>
      </c>
      <c r="J1423">
        <v>99.51</v>
      </c>
      <c r="K1423">
        <v>99.51</v>
      </c>
      <c r="L1423">
        <v>99.51</v>
      </c>
      <c r="M1423">
        <v>99.51</v>
      </c>
      <c r="N1423" t="s">
        <v>45</v>
      </c>
      <c r="O1423">
        <v>1</v>
      </c>
      <c r="P1423" s="3">
        <f t="shared" si="44"/>
        <v>99.51</v>
      </c>
      <c r="Q1423" s="3" t="str">
        <f t="shared" si="45"/>
        <v>195633023 0199.51</v>
      </c>
    </row>
    <row r="1424" spans="1:28" hidden="1">
      <c r="A1424" t="s">
        <v>2005</v>
      </c>
      <c r="B1424" t="s">
        <v>1055</v>
      </c>
      <c r="C1424" t="s">
        <v>69</v>
      </c>
      <c r="D1424" t="s">
        <v>2990</v>
      </c>
      <c r="E1424" t="s">
        <v>2906</v>
      </c>
      <c r="F1424" s="1" t="s">
        <v>2907</v>
      </c>
      <c r="G1424" t="s">
        <v>2991</v>
      </c>
      <c r="H1424" t="s">
        <v>1712</v>
      </c>
      <c r="I1424">
        <v>-4</v>
      </c>
      <c r="J1424">
        <v>148</v>
      </c>
      <c r="K1424">
        <v>148</v>
      </c>
      <c r="L1424">
        <v>148</v>
      </c>
      <c r="M1424">
        <v>148</v>
      </c>
      <c r="N1424" t="s">
        <v>45</v>
      </c>
      <c r="O1424">
        <v>1</v>
      </c>
      <c r="P1424" s="3">
        <f t="shared" si="44"/>
        <v>148</v>
      </c>
      <c r="Q1424" s="3" t="str">
        <f t="shared" si="45"/>
        <v>MC37745819148</v>
      </c>
      <c r="R1424" t="s">
        <v>37</v>
      </c>
    </row>
    <row r="1425" spans="1:20" hidden="1">
      <c r="A1425" t="s">
        <v>2005</v>
      </c>
      <c r="B1425" t="s">
        <v>1072</v>
      </c>
      <c r="C1425" t="s">
        <v>69</v>
      </c>
      <c r="D1425" t="s">
        <v>2992</v>
      </c>
      <c r="E1425" t="s">
        <v>2906</v>
      </c>
      <c r="F1425" s="1" t="s">
        <v>2907</v>
      </c>
      <c r="G1425" t="s">
        <v>2993</v>
      </c>
      <c r="H1425" t="s">
        <v>1727</v>
      </c>
      <c r="I1425">
        <v>-5</v>
      </c>
      <c r="J1425">
        <v>61760.68</v>
      </c>
      <c r="K1425">
        <v>61760.68</v>
      </c>
      <c r="L1425">
        <v>61760.68</v>
      </c>
      <c r="M1425">
        <v>61760.68</v>
      </c>
      <c r="N1425" t="s">
        <v>45</v>
      </c>
      <c r="O1425">
        <v>1</v>
      </c>
      <c r="P1425" s="3">
        <f t="shared" si="44"/>
        <v>61760.68</v>
      </c>
      <c r="Q1425" s="3" t="str">
        <f t="shared" si="45"/>
        <v>MC3811774661760.68</v>
      </c>
      <c r="R1425" t="s">
        <v>37</v>
      </c>
    </row>
    <row r="1426" spans="1:20" hidden="1">
      <c r="A1426" t="s">
        <v>2005</v>
      </c>
      <c r="B1426" t="s">
        <v>1369</v>
      </c>
      <c r="C1426" t="s">
        <v>69</v>
      </c>
      <c r="D1426" t="s">
        <v>2994</v>
      </c>
      <c r="E1426" t="s">
        <v>2995</v>
      </c>
      <c r="F1426" s="1"/>
      <c r="G1426" t="s">
        <v>2996</v>
      </c>
      <c r="H1426" t="s">
        <v>1727</v>
      </c>
      <c r="I1426">
        <v>-5</v>
      </c>
      <c r="J1426">
        <v>40000</v>
      </c>
      <c r="K1426">
        <v>40000</v>
      </c>
      <c r="L1426">
        <v>40000</v>
      </c>
      <c r="M1426">
        <v>40000</v>
      </c>
      <c r="N1426" t="s">
        <v>45</v>
      </c>
      <c r="O1426">
        <v>1</v>
      </c>
      <c r="P1426" s="3">
        <f t="shared" si="44"/>
        <v>40000</v>
      </c>
      <c r="Q1426" s="3" t="str">
        <f t="shared" si="45"/>
        <v>08448640000</v>
      </c>
    </row>
    <row r="1427" spans="1:20" hidden="1">
      <c r="A1427" t="s">
        <v>2005</v>
      </c>
      <c r="B1427" t="s">
        <v>1487</v>
      </c>
      <c r="C1427" t="s">
        <v>69</v>
      </c>
      <c r="D1427" t="s">
        <v>2997</v>
      </c>
      <c r="E1427" t="s">
        <v>2662</v>
      </c>
      <c r="F1427" s="1" t="s">
        <v>2663</v>
      </c>
      <c r="G1427" t="s">
        <v>2998</v>
      </c>
      <c r="H1427" t="s">
        <v>1767</v>
      </c>
      <c r="I1427">
        <v>-7</v>
      </c>
      <c r="J1427">
        <v>6825</v>
      </c>
      <c r="K1427">
        <v>6825</v>
      </c>
      <c r="L1427">
        <v>6825</v>
      </c>
      <c r="M1427">
        <v>6825</v>
      </c>
      <c r="N1427" t="s">
        <v>45</v>
      </c>
      <c r="O1427">
        <v>1</v>
      </c>
      <c r="P1427" s="3">
        <f t="shared" si="44"/>
        <v>6825</v>
      </c>
      <c r="Q1427" s="3" t="str">
        <f t="shared" si="45"/>
        <v>00002566825</v>
      </c>
      <c r="R1427" t="s">
        <v>2665</v>
      </c>
    </row>
    <row r="1428" spans="1:20" hidden="1">
      <c r="A1428" t="s">
        <v>2005</v>
      </c>
      <c r="B1428" t="s">
        <v>1159</v>
      </c>
      <c r="C1428" t="s">
        <v>69</v>
      </c>
      <c r="D1428" t="s">
        <v>2999</v>
      </c>
      <c r="E1428" t="s">
        <v>2118</v>
      </c>
      <c r="F1428" s="1" t="s">
        <v>2119</v>
      </c>
      <c r="G1428" t="s">
        <v>3000</v>
      </c>
      <c r="H1428" t="s">
        <v>1804</v>
      </c>
      <c r="I1428">
        <v>-9</v>
      </c>
      <c r="J1428">
        <v>4440</v>
      </c>
      <c r="K1428">
        <v>4440</v>
      </c>
      <c r="L1428">
        <v>4440</v>
      </c>
      <c r="M1428">
        <v>4440</v>
      </c>
      <c r="N1428" t="s">
        <v>45</v>
      </c>
      <c r="O1428">
        <v>1</v>
      </c>
      <c r="P1428" s="3">
        <f t="shared" si="44"/>
        <v>4440</v>
      </c>
      <c r="Q1428" s="3" t="str">
        <f t="shared" si="45"/>
        <v>33614440</v>
      </c>
      <c r="R1428" t="s">
        <v>186</v>
      </c>
    </row>
    <row r="1429" spans="1:20" hidden="1">
      <c r="A1429" t="s">
        <v>2005</v>
      </c>
      <c r="B1429" t="s">
        <v>1159</v>
      </c>
      <c r="C1429" t="s">
        <v>69</v>
      </c>
      <c r="D1429" t="s">
        <v>3001</v>
      </c>
      <c r="E1429" t="s">
        <v>2704</v>
      </c>
      <c r="F1429" s="1" t="s">
        <v>2705</v>
      </c>
      <c r="G1429" t="s">
        <v>2415</v>
      </c>
      <c r="H1429" t="s">
        <v>1804</v>
      </c>
      <c r="I1429">
        <v>-9</v>
      </c>
      <c r="J1429">
        <v>163.47</v>
      </c>
      <c r="K1429">
        <v>163.47</v>
      </c>
      <c r="L1429">
        <v>163.47</v>
      </c>
      <c r="M1429">
        <v>163.47</v>
      </c>
      <c r="N1429" t="s">
        <v>45</v>
      </c>
      <c r="O1429">
        <v>1</v>
      </c>
      <c r="P1429" s="3">
        <f t="shared" si="44"/>
        <v>163.47</v>
      </c>
      <c r="Q1429" s="3" t="str">
        <f t="shared" si="45"/>
        <v>195636509 01163.47</v>
      </c>
    </row>
    <row r="1430" spans="1:20" hidden="1">
      <c r="A1430" t="s">
        <v>2005</v>
      </c>
      <c r="B1430" t="s">
        <v>1169</v>
      </c>
      <c r="C1430" t="s">
        <v>69</v>
      </c>
      <c r="D1430" t="s">
        <v>3002</v>
      </c>
      <c r="E1430" t="s">
        <v>2219</v>
      </c>
      <c r="F1430" s="1" t="s">
        <v>2220</v>
      </c>
      <c r="G1430" t="s">
        <v>3003</v>
      </c>
      <c r="H1430" t="s">
        <v>1823</v>
      </c>
      <c r="I1430">
        <v>-10</v>
      </c>
      <c r="J1430">
        <v>13255</v>
      </c>
      <c r="K1430">
        <v>13255</v>
      </c>
      <c r="L1430">
        <v>13255</v>
      </c>
      <c r="M1430">
        <v>13255</v>
      </c>
      <c r="N1430" t="s">
        <v>45</v>
      </c>
      <c r="O1430">
        <v>1</v>
      </c>
      <c r="P1430" s="3">
        <f t="shared" si="44"/>
        <v>13255</v>
      </c>
      <c r="Q1430" s="3" t="str">
        <f t="shared" si="45"/>
        <v>TEN0000413255</v>
      </c>
      <c r="R1430" t="s">
        <v>3004</v>
      </c>
    </row>
    <row r="1431" spans="1:20" hidden="1">
      <c r="A1431" t="s">
        <v>2005</v>
      </c>
      <c r="B1431" t="s">
        <v>1205</v>
      </c>
      <c r="C1431" t="s">
        <v>69</v>
      </c>
      <c r="D1431" t="s">
        <v>3005</v>
      </c>
      <c r="E1431" t="s">
        <v>3006</v>
      </c>
      <c r="F1431" s="1" t="s">
        <v>3007</v>
      </c>
      <c r="G1431" t="s">
        <v>3008</v>
      </c>
      <c r="H1431" t="s">
        <v>1836</v>
      </c>
      <c r="I1431">
        <v>-11</v>
      </c>
      <c r="J1431">
        <v>21947.86</v>
      </c>
      <c r="K1431">
        <v>21947.86</v>
      </c>
      <c r="L1431">
        <v>21947.86</v>
      </c>
      <c r="M1431">
        <v>21947.86</v>
      </c>
      <c r="N1431" t="s">
        <v>45</v>
      </c>
      <c r="O1431">
        <v>1</v>
      </c>
      <c r="P1431" s="3">
        <f t="shared" si="44"/>
        <v>21947.86</v>
      </c>
      <c r="Q1431" s="3" t="str">
        <f t="shared" si="45"/>
        <v>INV14554321947.86</v>
      </c>
      <c r="R1431" t="s">
        <v>3009</v>
      </c>
    </row>
    <row r="1432" spans="1:20" hidden="1">
      <c r="A1432" t="s">
        <v>2005</v>
      </c>
      <c r="B1432" t="s">
        <v>1236</v>
      </c>
      <c r="C1432" t="s">
        <v>69</v>
      </c>
      <c r="D1432" t="s">
        <v>3010</v>
      </c>
      <c r="E1432" t="s">
        <v>3011</v>
      </c>
      <c r="F1432" s="1" t="s">
        <v>3012</v>
      </c>
      <c r="G1432" t="s">
        <v>3013</v>
      </c>
      <c r="H1432" t="s">
        <v>1840</v>
      </c>
      <c r="I1432">
        <v>-12</v>
      </c>
      <c r="J1432">
        <v>7200</v>
      </c>
      <c r="K1432">
        <v>7200</v>
      </c>
      <c r="L1432">
        <v>7200</v>
      </c>
      <c r="M1432">
        <v>7200</v>
      </c>
      <c r="N1432" t="s">
        <v>45</v>
      </c>
      <c r="O1432">
        <v>1</v>
      </c>
      <c r="P1432" s="3">
        <f t="shared" si="44"/>
        <v>7200</v>
      </c>
      <c r="Q1432" s="3" t="str">
        <f t="shared" si="45"/>
        <v>62727200</v>
      </c>
      <c r="R1432" t="s">
        <v>1686</v>
      </c>
      <c r="S1432" t="s">
        <v>60</v>
      </c>
      <c r="T1432" t="s">
        <v>102</v>
      </c>
    </row>
    <row r="1433" spans="1:20" hidden="1">
      <c r="A1433" t="s">
        <v>2005</v>
      </c>
      <c r="B1433" t="s">
        <v>1335</v>
      </c>
      <c r="C1433" t="s">
        <v>69</v>
      </c>
      <c r="D1433" t="s">
        <v>3014</v>
      </c>
      <c r="E1433" t="s">
        <v>2776</v>
      </c>
      <c r="F1433" s="1"/>
      <c r="G1433" t="s">
        <v>3015</v>
      </c>
      <c r="H1433" t="s">
        <v>1876</v>
      </c>
      <c r="I1433">
        <v>-16</v>
      </c>
      <c r="J1433">
        <v>10400</v>
      </c>
      <c r="K1433">
        <v>10400</v>
      </c>
      <c r="L1433">
        <v>10400</v>
      </c>
      <c r="M1433">
        <v>10400</v>
      </c>
      <c r="N1433" t="s">
        <v>45</v>
      </c>
      <c r="O1433">
        <v>1</v>
      </c>
      <c r="P1433" s="3">
        <f t="shared" si="44"/>
        <v>10400</v>
      </c>
      <c r="Q1433" s="3" t="str">
        <f t="shared" si="45"/>
        <v>501410400</v>
      </c>
    </row>
    <row r="1434" spans="1:20" hidden="1">
      <c r="A1434" t="s">
        <v>2005</v>
      </c>
      <c r="B1434" t="s">
        <v>1350</v>
      </c>
      <c r="C1434" t="s">
        <v>69</v>
      </c>
      <c r="D1434" t="s">
        <v>3016</v>
      </c>
      <c r="E1434" t="s">
        <v>2108</v>
      </c>
      <c r="F1434" s="1" t="s">
        <v>2109</v>
      </c>
      <c r="G1434" t="s">
        <v>3017</v>
      </c>
      <c r="H1434" t="s">
        <v>1890</v>
      </c>
      <c r="I1434">
        <v>-17</v>
      </c>
      <c r="J1434">
        <v>4201.25</v>
      </c>
      <c r="K1434">
        <v>4201.25</v>
      </c>
      <c r="L1434">
        <v>4201.25</v>
      </c>
      <c r="M1434">
        <v>4201.25</v>
      </c>
      <c r="N1434" t="s">
        <v>45</v>
      </c>
      <c r="O1434">
        <v>1</v>
      </c>
      <c r="P1434" s="3">
        <f t="shared" si="44"/>
        <v>4201.25</v>
      </c>
      <c r="Q1434" s="3" t="str">
        <f t="shared" si="45"/>
        <v>673834201.25</v>
      </c>
      <c r="R1434" t="s">
        <v>202</v>
      </c>
    </row>
    <row r="1435" spans="1:20" hidden="1">
      <c r="A1435" t="s">
        <v>2005</v>
      </c>
      <c r="B1435" t="s">
        <v>1350</v>
      </c>
      <c r="C1435" t="s">
        <v>69</v>
      </c>
      <c r="D1435" t="s">
        <v>3018</v>
      </c>
      <c r="E1435" t="s">
        <v>2432</v>
      </c>
      <c r="F1435" s="1" t="s">
        <v>2433</v>
      </c>
      <c r="G1435" t="s">
        <v>3019</v>
      </c>
      <c r="H1435" t="s">
        <v>1890</v>
      </c>
      <c r="I1435">
        <v>-17</v>
      </c>
      <c r="J1435">
        <v>12566</v>
      </c>
      <c r="K1435">
        <v>12566</v>
      </c>
      <c r="L1435">
        <v>12566</v>
      </c>
      <c r="M1435">
        <v>12566</v>
      </c>
      <c r="N1435" t="s">
        <v>45</v>
      </c>
      <c r="O1435">
        <v>1</v>
      </c>
      <c r="P1435" s="3">
        <f t="shared" si="44"/>
        <v>12566</v>
      </c>
      <c r="Q1435" s="3" t="str">
        <f t="shared" si="45"/>
        <v>HK2512-16512566</v>
      </c>
      <c r="R1435" t="s">
        <v>2435</v>
      </c>
    </row>
    <row r="1436" spans="1:20" hidden="1">
      <c r="A1436" t="s">
        <v>2005</v>
      </c>
      <c r="B1436" t="s">
        <v>1350</v>
      </c>
      <c r="C1436" t="s">
        <v>69</v>
      </c>
      <c r="D1436" t="s">
        <v>3020</v>
      </c>
      <c r="E1436" t="s">
        <v>2813</v>
      </c>
      <c r="F1436" s="1" t="s">
        <v>2814</v>
      </c>
      <c r="G1436" t="s">
        <v>3021</v>
      </c>
      <c r="H1436" t="s">
        <v>1890</v>
      </c>
      <c r="I1436">
        <v>-17</v>
      </c>
      <c r="J1436">
        <v>3752.5</v>
      </c>
      <c r="K1436">
        <v>3752.5</v>
      </c>
      <c r="L1436">
        <v>3752.5</v>
      </c>
      <c r="M1436">
        <v>3752.5</v>
      </c>
      <c r="N1436" t="s">
        <v>45</v>
      </c>
      <c r="O1436">
        <v>1</v>
      </c>
      <c r="P1436" s="3">
        <f t="shared" si="44"/>
        <v>3752.5</v>
      </c>
      <c r="Q1436" s="3" t="str">
        <f t="shared" si="45"/>
        <v>627713752.5</v>
      </c>
      <c r="R1436" t="s">
        <v>186</v>
      </c>
    </row>
    <row r="1437" spans="1:20" hidden="1">
      <c r="A1437" t="s">
        <v>2005</v>
      </c>
      <c r="B1437" t="s">
        <v>1350</v>
      </c>
      <c r="C1437" t="s">
        <v>69</v>
      </c>
      <c r="D1437" t="s">
        <v>3022</v>
      </c>
      <c r="E1437" t="s">
        <v>2813</v>
      </c>
      <c r="F1437" s="1" t="s">
        <v>2814</v>
      </c>
      <c r="G1437" t="s">
        <v>3023</v>
      </c>
      <c r="H1437" t="s">
        <v>1890</v>
      </c>
      <c r="I1437">
        <v>-17</v>
      </c>
      <c r="J1437">
        <v>3977.65</v>
      </c>
      <c r="K1437">
        <v>3977.65</v>
      </c>
      <c r="L1437">
        <v>3977.65</v>
      </c>
      <c r="M1437">
        <v>3977.65</v>
      </c>
      <c r="N1437" t="s">
        <v>45</v>
      </c>
      <c r="O1437">
        <v>1</v>
      </c>
      <c r="P1437" s="3">
        <f t="shared" si="44"/>
        <v>3977.65</v>
      </c>
      <c r="Q1437" s="3" t="str">
        <f t="shared" si="45"/>
        <v>630803977.65</v>
      </c>
      <c r="R1437" t="s">
        <v>186</v>
      </c>
    </row>
    <row r="1438" spans="1:20" hidden="1">
      <c r="A1438" t="s">
        <v>2005</v>
      </c>
      <c r="B1438" t="s">
        <v>1350</v>
      </c>
      <c r="C1438" t="s">
        <v>69</v>
      </c>
      <c r="D1438" t="s">
        <v>3024</v>
      </c>
      <c r="E1438" t="s">
        <v>2813</v>
      </c>
      <c r="F1438" s="1" t="s">
        <v>2814</v>
      </c>
      <c r="G1438" t="s">
        <v>3025</v>
      </c>
      <c r="H1438" t="s">
        <v>1890</v>
      </c>
      <c r="I1438">
        <v>-17</v>
      </c>
      <c r="J1438">
        <v>1086.25</v>
      </c>
      <c r="K1438">
        <v>1086.25</v>
      </c>
      <c r="L1438">
        <v>1086.25</v>
      </c>
      <c r="M1438">
        <v>1086.25</v>
      </c>
      <c r="N1438" t="s">
        <v>45</v>
      </c>
      <c r="O1438">
        <v>1</v>
      </c>
      <c r="P1438" s="3">
        <f t="shared" si="44"/>
        <v>1086.25</v>
      </c>
      <c r="Q1438" s="3" t="str">
        <f t="shared" si="45"/>
        <v>627381086.25</v>
      </c>
      <c r="R1438" t="s">
        <v>186</v>
      </c>
    </row>
    <row r="1439" spans="1:20" hidden="1">
      <c r="A1439" t="s">
        <v>2005</v>
      </c>
      <c r="B1439" t="s">
        <v>1350</v>
      </c>
      <c r="C1439" t="s">
        <v>69</v>
      </c>
      <c r="D1439" t="s">
        <v>3026</v>
      </c>
      <c r="E1439" t="s">
        <v>3011</v>
      </c>
      <c r="F1439" s="1" t="s">
        <v>3012</v>
      </c>
      <c r="G1439" t="s">
        <v>3027</v>
      </c>
      <c r="H1439" t="s">
        <v>1890</v>
      </c>
      <c r="I1439">
        <v>-17</v>
      </c>
      <c r="J1439">
        <v>8457.5</v>
      </c>
      <c r="K1439">
        <v>8457.5</v>
      </c>
      <c r="L1439">
        <v>8457.5</v>
      </c>
      <c r="M1439">
        <v>8457.5</v>
      </c>
      <c r="N1439" t="s">
        <v>45</v>
      </c>
      <c r="O1439">
        <v>1</v>
      </c>
      <c r="P1439" s="3">
        <f t="shared" si="44"/>
        <v>8457.5</v>
      </c>
      <c r="Q1439" s="3" t="str">
        <f t="shared" si="45"/>
        <v>62718457.5</v>
      </c>
      <c r="R1439" t="s">
        <v>399</v>
      </c>
      <c r="S1439" t="s">
        <v>60</v>
      </c>
    </row>
    <row r="1440" spans="1:20" hidden="1">
      <c r="A1440" t="s">
        <v>2005</v>
      </c>
      <c r="B1440" t="s">
        <v>1350</v>
      </c>
      <c r="C1440" t="s">
        <v>69</v>
      </c>
      <c r="D1440" t="s">
        <v>3028</v>
      </c>
      <c r="E1440" t="s">
        <v>2132</v>
      </c>
      <c r="F1440" s="1"/>
      <c r="G1440" t="s">
        <v>3029</v>
      </c>
      <c r="H1440" t="s">
        <v>1890</v>
      </c>
      <c r="I1440">
        <v>-17</v>
      </c>
      <c r="J1440">
        <v>800</v>
      </c>
      <c r="K1440">
        <v>800</v>
      </c>
      <c r="L1440">
        <v>800</v>
      </c>
      <c r="M1440">
        <v>800</v>
      </c>
      <c r="N1440" t="s">
        <v>45</v>
      </c>
      <c r="O1440">
        <v>1</v>
      </c>
      <c r="P1440" s="3">
        <f t="shared" si="44"/>
        <v>800</v>
      </c>
      <c r="Q1440" s="3" t="str">
        <f t="shared" si="45"/>
        <v>2025-3872800</v>
      </c>
    </row>
    <row r="1441" spans="1:17" hidden="1">
      <c r="A1441" t="s">
        <v>2005</v>
      </c>
      <c r="B1441" t="s">
        <v>1350</v>
      </c>
      <c r="C1441" t="s">
        <v>69</v>
      </c>
      <c r="D1441" t="s">
        <v>3030</v>
      </c>
      <c r="E1441" t="s">
        <v>2132</v>
      </c>
      <c r="F1441" s="1"/>
      <c r="G1441" t="s">
        <v>3031</v>
      </c>
      <c r="H1441" t="s">
        <v>1890</v>
      </c>
      <c r="I1441">
        <v>-17</v>
      </c>
      <c r="J1441">
        <v>145</v>
      </c>
      <c r="K1441">
        <v>145</v>
      </c>
      <c r="L1441">
        <v>145</v>
      </c>
      <c r="M1441">
        <v>145</v>
      </c>
      <c r="N1441" t="s">
        <v>45</v>
      </c>
      <c r="O1441">
        <v>1</v>
      </c>
      <c r="P1441" s="3">
        <f t="shared" si="44"/>
        <v>145</v>
      </c>
      <c r="Q1441" s="3" t="str">
        <f t="shared" si="45"/>
        <v>2025-3873145</v>
      </c>
    </row>
    <row r="1442" spans="1:17" hidden="1">
      <c r="A1442" t="s">
        <v>2005</v>
      </c>
      <c r="B1442" t="s">
        <v>1350</v>
      </c>
      <c r="C1442" t="s">
        <v>69</v>
      </c>
      <c r="D1442" t="s">
        <v>3032</v>
      </c>
      <c r="E1442" t="s">
        <v>2132</v>
      </c>
      <c r="F1442" s="1"/>
      <c r="G1442" t="s">
        <v>3033</v>
      </c>
      <c r="H1442" t="s">
        <v>1890</v>
      </c>
      <c r="I1442">
        <v>-17</v>
      </c>
      <c r="J1442">
        <v>135</v>
      </c>
      <c r="K1442">
        <v>135</v>
      </c>
      <c r="L1442">
        <v>135</v>
      </c>
      <c r="M1442">
        <v>135</v>
      </c>
      <c r="N1442" t="s">
        <v>45</v>
      </c>
      <c r="O1442">
        <v>1</v>
      </c>
      <c r="P1442" s="3">
        <f t="shared" si="44"/>
        <v>135</v>
      </c>
      <c r="Q1442" s="3" t="str">
        <f t="shared" si="45"/>
        <v>2025-3874135</v>
      </c>
    </row>
    <row r="1443" spans="1:17" hidden="1">
      <c r="A1443" t="s">
        <v>2005</v>
      </c>
      <c r="B1443" t="s">
        <v>1350</v>
      </c>
      <c r="C1443" t="s">
        <v>69</v>
      </c>
      <c r="D1443" t="s">
        <v>3034</v>
      </c>
      <c r="E1443" t="s">
        <v>2132</v>
      </c>
      <c r="F1443" s="1"/>
      <c r="G1443" t="s">
        <v>3035</v>
      </c>
      <c r="H1443" t="s">
        <v>1890</v>
      </c>
      <c r="I1443">
        <v>-17</v>
      </c>
      <c r="J1443">
        <v>4700</v>
      </c>
      <c r="K1443">
        <v>4700</v>
      </c>
      <c r="L1443">
        <v>4700</v>
      </c>
      <c r="M1443">
        <v>4700</v>
      </c>
      <c r="N1443" t="s">
        <v>45</v>
      </c>
      <c r="O1443">
        <v>1</v>
      </c>
      <c r="P1443" s="3">
        <f t="shared" si="44"/>
        <v>4700</v>
      </c>
      <c r="Q1443" s="3" t="str">
        <f t="shared" si="45"/>
        <v>2025-38754700</v>
      </c>
    </row>
    <row r="1444" spans="1:17" hidden="1">
      <c r="A1444" t="s">
        <v>2005</v>
      </c>
      <c r="B1444" t="s">
        <v>1350</v>
      </c>
      <c r="C1444" t="s">
        <v>69</v>
      </c>
      <c r="D1444" t="s">
        <v>3036</v>
      </c>
      <c r="E1444" t="s">
        <v>2132</v>
      </c>
      <c r="F1444" s="1"/>
      <c r="G1444" t="s">
        <v>3037</v>
      </c>
      <c r="H1444" t="s">
        <v>1890</v>
      </c>
      <c r="I1444">
        <v>-17</v>
      </c>
      <c r="J1444">
        <v>800</v>
      </c>
      <c r="K1444">
        <v>800</v>
      </c>
      <c r="L1444">
        <v>800</v>
      </c>
      <c r="M1444">
        <v>800</v>
      </c>
      <c r="N1444" t="s">
        <v>45</v>
      </c>
      <c r="O1444">
        <v>1</v>
      </c>
      <c r="P1444" s="3">
        <f t="shared" si="44"/>
        <v>800</v>
      </c>
      <c r="Q1444" s="3" t="str">
        <f t="shared" si="45"/>
        <v>2025-3876800</v>
      </c>
    </row>
    <row r="1445" spans="1:17" hidden="1">
      <c r="A1445" t="s">
        <v>2005</v>
      </c>
      <c r="B1445" t="s">
        <v>1350</v>
      </c>
      <c r="C1445" t="s">
        <v>69</v>
      </c>
      <c r="D1445" t="s">
        <v>3038</v>
      </c>
      <c r="E1445" t="s">
        <v>2132</v>
      </c>
      <c r="F1445" s="1"/>
      <c r="G1445" t="s">
        <v>3039</v>
      </c>
      <c r="H1445" t="s">
        <v>1890</v>
      </c>
      <c r="I1445">
        <v>-17</v>
      </c>
      <c r="J1445">
        <v>2668.35</v>
      </c>
      <c r="K1445">
        <v>2668.35</v>
      </c>
      <c r="L1445">
        <v>2668.35</v>
      </c>
      <c r="M1445">
        <v>2668.35</v>
      </c>
      <c r="N1445" t="s">
        <v>45</v>
      </c>
      <c r="O1445">
        <v>1</v>
      </c>
      <c r="P1445" s="3">
        <f t="shared" si="44"/>
        <v>2668.35</v>
      </c>
      <c r="Q1445" s="3" t="str">
        <f t="shared" si="45"/>
        <v>2025-38772668.35</v>
      </c>
    </row>
    <row r="1446" spans="1:17" hidden="1">
      <c r="A1446" t="s">
        <v>2005</v>
      </c>
      <c r="B1446" t="s">
        <v>1350</v>
      </c>
      <c r="C1446" t="s">
        <v>69</v>
      </c>
      <c r="D1446" t="s">
        <v>3040</v>
      </c>
      <c r="E1446" t="s">
        <v>2132</v>
      </c>
      <c r="F1446" s="1"/>
      <c r="G1446" t="s">
        <v>3041</v>
      </c>
      <c r="H1446" t="s">
        <v>1890</v>
      </c>
      <c r="I1446">
        <v>-17</v>
      </c>
      <c r="J1446">
        <v>135</v>
      </c>
      <c r="K1446">
        <v>135</v>
      </c>
      <c r="L1446">
        <v>135</v>
      </c>
      <c r="M1446">
        <v>135</v>
      </c>
      <c r="N1446" t="s">
        <v>45</v>
      </c>
      <c r="O1446">
        <v>1</v>
      </c>
      <c r="P1446" s="3">
        <f t="shared" si="44"/>
        <v>135</v>
      </c>
      <c r="Q1446" s="3" t="str">
        <f t="shared" si="45"/>
        <v>2025-3878135</v>
      </c>
    </row>
    <row r="1447" spans="1:17" hidden="1">
      <c r="A1447" t="s">
        <v>2005</v>
      </c>
      <c r="B1447" t="s">
        <v>1350</v>
      </c>
      <c r="C1447" t="s">
        <v>69</v>
      </c>
      <c r="D1447" t="s">
        <v>3042</v>
      </c>
      <c r="E1447" t="s">
        <v>2132</v>
      </c>
      <c r="F1447" s="1"/>
      <c r="G1447" t="s">
        <v>3043</v>
      </c>
      <c r="H1447" t="s">
        <v>1890</v>
      </c>
      <c r="I1447">
        <v>-17</v>
      </c>
      <c r="J1447">
        <v>2585.1999999999998</v>
      </c>
      <c r="K1447">
        <v>2585.1999999999998</v>
      </c>
      <c r="L1447">
        <v>2585.1999999999998</v>
      </c>
      <c r="M1447">
        <v>2585.1999999999998</v>
      </c>
      <c r="N1447" t="s">
        <v>45</v>
      </c>
      <c r="O1447">
        <v>1</v>
      </c>
      <c r="P1447" s="3">
        <f t="shared" si="44"/>
        <v>2585.1999999999998</v>
      </c>
      <c r="Q1447" s="3" t="str">
        <f t="shared" si="45"/>
        <v>2025-38792585.2</v>
      </c>
    </row>
    <row r="1448" spans="1:17" hidden="1">
      <c r="A1448" t="s">
        <v>2005</v>
      </c>
      <c r="B1448" t="s">
        <v>1350</v>
      </c>
      <c r="C1448" t="s">
        <v>69</v>
      </c>
      <c r="D1448" t="s">
        <v>3044</v>
      </c>
      <c r="E1448" t="s">
        <v>2132</v>
      </c>
      <c r="F1448" s="1"/>
      <c r="G1448" t="s">
        <v>3045</v>
      </c>
      <c r="H1448" t="s">
        <v>1890</v>
      </c>
      <c r="I1448">
        <v>-17</v>
      </c>
      <c r="J1448">
        <v>2668.85</v>
      </c>
      <c r="K1448">
        <v>2668.85</v>
      </c>
      <c r="L1448">
        <v>2668.85</v>
      </c>
      <c r="M1448">
        <v>2668.85</v>
      </c>
      <c r="N1448" t="s">
        <v>45</v>
      </c>
      <c r="O1448">
        <v>1</v>
      </c>
      <c r="P1448" s="3">
        <f t="shared" si="44"/>
        <v>2668.85</v>
      </c>
      <c r="Q1448" s="3" t="str">
        <f t="shared" si="45"/>
        <v>2025-38802668.85</v>
      </c>
    </row>
    <row r="1449" spans="1:17" hidden="1">
      <c r="A1449" t="s">
        <v>2005</v>
      </c>
      <c r="B1449" t="s">
        <v>1350</v>
      </c>
      <c r="C1449" t="s">
        <v>69</v>
      </c>
      <c r="D1449" t="s">
        <v>3046</v>
      </c>
      <c r="E1449" t="s">
        <v>2132</v>
      </c>
      <c r="F1449" s="1"/>
      <c r="G1449" t="s">
        <v>3047</v>
      </c>
      <c r="H1449" t="s">
        <v>1890</v>
      </c>
      <c r="I1449">
        <v>-17</v>
      </c>
      <c r="J1449">
        <v>185</v>
      </c>
      <c r="K1449">
        <v>185</v>
      </c>
      <c r="L1449">
        <v>185</v>
      </c>
      <c r="M1449">
        <v>185</v>
      </c>
      <c r="N1449" t="s">
        <v>45</v>
      </c>
      <c r="O1449">
        <v>1</v>
      </c>
      <c r="P1449" s="3">
        <f t="shared" si="44"/>
        <v>185</v>
      </c>
      <c r="Q1449" s="3" t="str">
        <f t="shared" si="45"/>
        <v>2025-3940185</v>
      </c>
    </row>
    <row r="1450" spans="1:17" hidden="1">
      <c r="A1450" t="s">
        <v>2005</v>
      </c>
      <c r="B1450" t="s">
        <v>1350</v>
      </c>
      <c r="C1450" t="s">
        <v>69</v>
      </c>
      <c r="D1450" t="s">
        <v>3048</v>
      </c>
      <c r="E1450" t="s">
        <v>2132</v>
      </c>
      <c r="F1450" s="1"/>
      <c r="G1450" t="s">
        <v>3049</v>
      </c>
      <c r="H1450" t="s">
        <v>1890</v>
      </c>
      <c r="I1450">
        <v>-17</v>
      </c>
      <c r="J1450">
        <v>11355</v>
      </c>
      <c r="K1450">
        <v>11355</v>
      </c>
      <c r="L1450">
        <v>11355</v>
      </c>
      <c r="M1450">
        <v>11355</v>
      </c>
      <c r="N1450" t="s">
        <v>45</v>
      </c>
      <c r="O1450">
        <v>1</v>
      </c>
      <c r="P1450" s="3">
        <f t="shared" si="44"/>
        <v>11355</v>
      </c>
      <c r="Q1450" s="3" t="str">
        <f t="shared" si="45"/>
        <v>2025-394211355</v>
      </c>
    </row>
    <row r="1451" spans="1:17" hidden="1">
      <c r="A1451" t="s">
        <v>2005</v>
      </c>
      <c r="B1451" t="s">
        <v>1350</v>
      </c>
      <c r="C1451" t="s">
        <v>69</v>
      </c>
      <c r="D1451" t="s">
        <v>3050</v>
      </c>
      <c r="E1451" t="s">
        <v>2132</v>
      </c>
      <c r="F1451" s="1"/>
      <c r="G1451" t="s">
        <v>3051</v>
      </c>
      <c r="H1451" t="s">
        <v>1890</v>
      </c>
      <c r="I1451">
        <v>-17</v>
      </c>
      <c r="J1451">
        <v>719.02</v>
      </c>
      <c r="K1451">
        <v>719.02</v>
      </c>
      <c r="L1451">
        <v>719.02</v>
      </c>
      <c r="M1451">
        <v>719.02</v>
      </c>
      <c r="N1451" t="s">
        <v>45</v>
      </c>
      <c r="O1451">
        <v>1</v>
      </c>
      <c r="P1451" s="3">
        <f t="shared" si="44"/>
        <v>719.02</v>
      </c>
      <c r="Q1451" s="3" t="str">
        <f t="shared" si="45"/>
        <v>2025-3945719.02</v>
      </c>
    </row>
    <row r="1452" spans="1:17" hidden="1">
      <c r="A1452" t="s">
        <v>2005</v>
      </c>
      <c r="B1452" t="s">
        <v>1350</v>
      </c>
      <c r="C1452" t="s">
        <v>69</v>
      </c>
      <c r="D1452" t="s">
        <v>3052</v>
      </c>
      <c r="E1452" t="s">
        <v>2132</v>
      </c>
      <c r="F1452" s="1"/>
      <c r="G1452" t="s">
        <v>3053</v>
      </c>
      <c r="H1452" t="s">
        <v>1890</v>
      </c>
      <c r="I1452">
        <v>-17</v>
      </c>
      <c r="J1452">
        <v>185</v>
      </c>
      <c r="K1452">
        <v>185</v>
      </c>
      <c r="L1452">
        <v>185</v>
      </c>
      <c r="M1452">
        <v>185</v>
      </c>
      <c r="N1452" t="s">
        <v>45</v>
      </c>
      <c r="O1452">
        <v>1</v>
      </c>
      <c r="P1452" s="3">
        <f t="shared" si="44"/>
        <v>185</v>
      </c>
      <c r="Q1452" s="3" t="str">
        <f t="shared" si="45"/>
        <v>2025-3947185</v>
      </c>
    </row>
    <row r="1453" spans="1:17" hidden="1">
      <c r="A1453" t="s">
        <v>2005</v>
      </c>
      <c r="B1453" t="s">
        <v>1350</v>
      </c>
      <c r="C1453" t="s">
        <v>69</v>
      </c>
      <c r="D1453" t="s">
        <v>3054</v>
      </c>
      <c r="E1453" t="s">
        <v>2132</v>
      </c>
      <c r="F1453" s="1"/>
      <c r="G1453" t="s">
        <v>3055</v>
      </c>
      <c r="H1453" t="s">
        <v>1890</v>
      </c>
      <c r="I1453">
        <v>-17</v>
      </c>
      <c r="J1453">
        <v>3088</v>
      </c>
      <c r="K1453">
        <v>3088</v>
      </c>
      <c r="L1453">
        <v>3088</v>
      </c>
      <c r="M1453">
        <v>3088</v>
      </c>
      <c r="N1453" t="s">
        <v>45</v>
      </c>
      <c r="O1453">
        <v>1</v>
      </c>
      <c r="P1453" s="3">
        <f t="shared" si="44"/>
        <v>3088</v>
      </c>
      <c r="Q1453" s="3" t="str">
        <f t="shared" si="45"/>
        <v>2025-39483088</v>
      </c>
    </row>
    <row r="1454" spans="1:17" hidden="1">
      <c r="A1454" t="s">
        <v>2005</v>
      </c>
      <c r="B1454" t="s">
        <v>1350</v>
      </c>
      <c r="C1454" t="s">
        <v>69</v>
      </c>
      <c r="D1454" t="s">
        <v>3056</v>
      </c>
      <c r="E1454" t="s">
        <v>2132</v>
      </c>
      <c r="F1454" s="1"/>
      <c r="G1454" t="s">
        <v>3057</v>
      </c>
      <c r="H1454" t="s">
        <v>1890</v>
      </c>
      <c r="I1454">
        <v>-17</v>
      </c>
      <c r="J1454">
        <v>135</v>
      </c>
      <c r="K1454">
        <v>135</v>
      </c>
      <c r="L1454">
        <v>135</v>
      </c>
      <c r="M1454">
        <v>135</v>
      </c>
      <c r="N1454" t="s">
        <v>45</v>
      </c>
      <c r="O1454">
        <v>1</v>
      </c>
      <c r="P1454" s="3">
        <f t="shared" si="44"/>
        <v>135</v>
      </c>
      <c r="Q1454" s="3" t="str">
        <f t="shared" si="45"/>
        <v>2025-3949135</v>
      </c>
    </row>
    <row r="1455" spans="1:17" hidden="1">
      <c r="A1455" t="s">
        <v>2005</v>
      </c>
      <c r="B1455" t="s">
        <v>1350</v>
      </c>
      <c r="C1455" t="s">
        <v>69</v>
      </c>
      <c r="D1455" t="s">
        <v>3058</v>
      </c>
      <c r="E1455" t="s">
        <v>2065</v>
      </c>
      <c r="F1455" s="1"/>
      <c r="G1455" t="s">
        <v>3059</v>
      </c>
      <c r="H1455" t="s">
        <v>1890</v>
      </c>
      <c r="I1455">
        <v>-17</v>
      </c>
      <c r="J1455">
        <v>22000</v>
      </c>
      <c r="K1455">
        <v>22000</v>
      </c>
      <c r="L1455">
        <v>22000</v>
      </c>
      <c r="M1455">
        <v>22000</v>
      </c>
      <c r="N1455" t="s">
        <v>45</v>
      </c>
      <c r="O1455">
        <v>1</v>
      </c>
      <c r="P1455" s="3">
        <f t="shared" si="44"/>
        <v>22000</v>
      </c>
      <c r="Q1455" s="3" t="str">
        <f t="shared" si="45"/>
        <v>04580722000</v>
      </c>
    </row>
    <row r="1456" spans="1:17" hidden="1">
      <c r="A1456" t="s">
        <v>2005</v>
      </c>
      <c r="B1456" t="s">
        <v>1350</v>
      </c>
      <c r="C1456" t="s">
        <v>69</v>
      </c>
      <c r="D1456" t="s">
        <v>3060</v>
      </c>
      <c r="E1456" t="s">
        <v>2132</v>
      </c>
      <c r="F1456" s="1"/>
      <c r="G1456" t="s">
        <v>3061</v>
      </c>
      <c r="H1456" t="s">
        <v>1890</v>
      </c>
      <c r="I1456">
        <v>-17</v>
      </c>
      <c r="J1456">
        <v>135</v>
      </c>
      <c r="K1456">
        <v>135</v>
      </c>
      <c r="L1456">
        <v>135</v>
      </c>
      <c r="M1456">
        <v>135</v>
      </c>
      <c r="N1456" t="s">
        <v>45</v>
      </c>
      <c r="O1456">
        <v>1</v>
      </c>
      <c r="P1456" s="3">
        <f t="shared" si="44"/>
        <v>135</v>
      </c>
      <c r="Q1456" s="3" t="str">
        <f t="shared" si="45"/>
        <v>2025-3950135</v>
      </c>
    </row>
    <row r="1457" spans="1:28" hidden="1">
      <c r="A1457" t="s">
        <v>2005</v>
      </c>
      <c r="B1457" t="s">
        <v>1350</v>
      </c>
      <c r="C1457" t="s">
        <v>69</v>
      </c>
      <c r="D1457" t="s">
        <v>3062</v>
      </c>
      <c r="E1457" t="s">
        <v>2065</v>
      </c>
      <c r="F1457" s="1"/>
      <c r="G1457" t="s">
        <v>3063</v>
      </c>
      <c r="H1457" t="s">
        <v>1890</v>
      </c>
      <c r="I1457">
        <v>-17</v>
      </c>
      <c r="J1457">
        <v>36400</v>
      </c>
      <c r="K1457">
        <v>36400</v>
      </c>
      <c r="L1457">
        <v>36400</v>
      </c>
      <c r="M1457">
        <v>36400</v>
      </c>
      <c r="N1457" t="s">
        <v>45</v>
      </c>
      <c r="O1457">
        <v>1</v>
      </c>
      <c r="P1457" s="3">
        <f t="shared" si="44"/>
        <v>36400</v>
      </c>
      <c r="Q1457" s="3" t="str">
        <f t="shared" si="45"/>
        <v>04580936400</v>
      </c>
    </row>
    <row r="1458" spans="1:28" hidden="1">
      <c r="A1458" t="s">
        <v>2005</v>
      </c>
      <c r="B1458" t="s">
        <v>1350</v>
      </c>
      <c r="C1458" t="s">
        <v>69</v>
      </c>
      <c r="D1458" t="s">
        <v>3064</v>
      </c>
      <c r="E1458" t="s">
        <v>2065</v>
      </c>
      <c r="F1458" s="1"/>
      <c r="G1458" t="s">
        <v>3065</v>
      </c>
      <c r="H1458" t="s">
        <v>1890</v>
      </c>
      <c r="I1458">
        <v>-17</v>
      </c>
      <c r="J1458">
        <v>11200</v>
      </c>
      <c r="K1458">
        <v>11200</v>
      </c>
      <c r="L1458">
        <v>11200</v>
      </c>
      <c r="M1458">
        <v>11200</v>
      </c>
      <c r="N1458" t="s">
        <v>45</v>
      </c>
      <c r="O1458">
        <v>1</v>
      </c>
      <c r="P1458" s="3">
        <f t="shared" si="44"/>
        <v>11200</v>
      </c>
      <c r="Q1458" s="3" t="str">
        <f t="shared" si="45"/>
        <v>04581311200</v>
      </c>
    </row>
    <row r="1459" spans="1:28" hidden="1">
      <c r="A1459" t="s">
        <v>2005</v>
      </c>
      <c r="B1459" t="s">
        <v>1350</v>
      </c>
      <c r="C1459" t="s">
        <v>69</v>
      </c>
      <c r="D1459" t="s">
        <v>3066</v>
      </c>
      <c r="E1459" t="s">
        <v>2065</v>
      </c>
      <c r="F1459" s="1"/>
      <c r="G1459" t="s">
        <v>3067</v>
      </c>
      <c r="H1459" t="s">
        <v>1890</v>
      </c>
      <c r="I1459">
        <v>-17</v>
      </c>
      <c r="J1459">
        <v>17600</v>
      </c>
      <c r="K1459">
        <v>17600</v>
      </c>
      <c r="L1459">
        <v>17600</v>
      </c>
      <c r="M1459">
        <v>17600</v>
      </c>
      <c r="N1459" t="s">
        <v>45</v>
      </c>
      <c r="O1459">
        <v>1</v>
      </c>
      <c r="P1459" s="3">
        <f t="shared" si="44"/>
        <v>17600</v>
      </c>
      <c r="Q1459" s="3" t="str">
        <f t="shared" si="45"/>
        <v>04581217600</v>
      </c>
    </row>
    <row r="1460" spans="1:28" hidden="1">
      <c r="A1460" t="s">
        <v>2005</v>
      </c>
      <c r="B1460" t="s">
        <v>1350</v>
      </c>
      <c r="C1460" t="s">
        <v>69</v>
      </c>
      <c r="D1460" t="s">
        <v>3068</v>
      </c>
      <c r="E1460" t="s">
        <v>2065</v>
      </c>
      <c r="F1460" s="1"/>
      <c r="G1460" t="s">
        <v>3069</v>
      </c>
      <c r="H1460" t="s">
        <v>1890</v>
      </c>
      <c r="I1460">
        <v>-17</v>
      </c>
      <c r="J1460">
        <v>12000</v>
      </c>
      <c r="K1460">
        <v>12000</v>
      </c>
      <c r="L1460">
        <v>12000</v>
      </c>
      <c r="M1460">
        <v>12000</v>
      </c>
      <c r="N1460" t="s">
        <v>45</v>
      </c>
      <c r="O1460">
        <v>1</v>
      </c>
      <c r="P1460" s="3">
        <f t="shared" si="44"/>
        <v>12000</v>
      </c>
      <c r="Q1460" s="3" t="str">
        <f t="shared" si="45"/>
        <v>04580812000</v>
      </c>
    </row>
    <row r="1461" spans="1:28" hidden="1">
      <c r="A1461" t="s">
        <v>2005</v>
      </c>
      <c r="B1461" t="s">
        <v>1350</v>
      </c>
      <c r="C1461" t="s">
        <v>69</v>
      </c>
      <c r="D1461" t="s">
        <v>3070</v>
      </c>
      <c r="E1461" t="s">
        <v>2065</v>
      </c>
      <c r="F1461" s="1"/>
      <c r="G1461" t="s">
        <v>3071</v>
      </c>
      <c r="H1461" t="s">
        <v>1890</v>
      </c>
      <c r="I1461">
        <v>-17</v>
      </c>
      <c r="J1461">
        <v>17200</v>
      </c>
      <c r="K1461">
        <v>17200</v>
      </c>
      <c r="L1461">
        <v>17200</v>
      </c>
      <c r="M1461">
        <v>17200</v>
      </c>
      <c r="N1461" t="s">
        <v>45</v>
      </c>
      <c r="O1461">
        <v>1</v>
      </c>
      <c r="P1461" s="3">
        <f t="shared" ref="P1461:P1495" si="46">IF(N1461="CAD",$P$1,1)*M1461</f>
        <v>17200</v>
      </c>
      <c r="Q1461" s="3" t="str">
        <f t="shared" ref="Q1461:Q1495" si="47">D1461&amp;M1461</f>
        <v>04580617200</v>
      </c>
    </row>
    <row r="1462" spans="1:28" hidden="1">
      <c r="A1462" t="s">
        <v>2005</v>
      </c>
      <c r="B1462" t="s">
        <v>1350</v>
      </c>
      <c r="C1462" t="s">
        <v>69</v>
      </c>
      <c r="D1462" t="s">
        <v>3072</v>
      </c>
      <c r="E1462" t="s">
        <v>2776</v>
      </c>
      <c r="F1462" s="1"/>
      <c r="G1462" t="s">
        <v>2780</v>
      </c>
      <c r="H1462" t="s">
        <v>1890</v>
      </c>
      <c r="I1462">
        <v>-17</v>
      </c>
      <c r="J1462">
        <v>17680</v>
      </c>
      <c r="K1462">
        <v>17680</v>
      </c>
      <c r="L1462">
        <v>17680</v>
      </c>
      <c r="M1462">
        <v>17680</v>
      </c>
      <c r="N1462" t="s">
        <v>45</v>
      </c>
      <c r="O1462">
        <v>1</v>
      </c>
      <c r="P1462" s="3">
        <f t="shared" si="46"/>
        <v>17680</v>
      </c>
      <c r="Q1462" s="3" t="str">
        <f t="shared" si="47"/>
        <v>501217680</v>
      </c>
    </row>
    <row r="1463" spans="1:28" hidden="1">
      <c r="A1463" t="s">
        <v>2005</v>
      </c>
      <c r="B1463" t="s">
        <v>1350</v>
      </c>
      <c r="C1463" t="s">
        <v>69</v>
      </c>
      <c r="D1463" t="s">
        <v>3073</v>
      </c>
      <c r="E1463" t="s">
        <v>2776</v>
      </c>
      <c r="F1463" s="1"/>
      <c r="G1463" t="s">
        <v>3074</v>
      </c>
      <c r="H1463" t="s">
        <v>1890</v>
      </c>
      <c r="I1463">
        <v>-17</v>
      </c>
      <c r="J1463">
        <v>28080</v>
      </c>
      <c r="K1463">
        <v>28080</v>
      </c>
      <c r="L1463">
        <v>28080</v>
      </c>
      <c r="M1463">
        <v>28080</v>
      </c>
      <c r="N1463" t="s">
        <v>45</v>
      </c>
      <c r="O1463">
        <v>1</v>
      </c>
      <c r="P1463" s="3">
        <f t="shared" si="46"/>
        <v>28080</v>
      </c>
      <c r="Q1463" s="3" t="str">
        <f t="shared" si="47"/>
        <v>501628080</v>
      </c>
    </row>
    <row r="1464" spans="1:28" hidden="1">
      <c r="A1464" t="s">
        <v>2005</v>
      </c>
      <c r="B1464" t="s">
        <v>1350</v>
      </c>
      <c r="C1464" t="s">
        <v>69</v>
      </c>
      <c r="D1464" t="s">
        <v>3075</v>
      </c>
      <c r="E1464" t="s">
        <v>2776</v>
      </c>
      <c r="F1464" s="1"/>
      <c r="G1464" t="s">
        <v>3076</v>
      </c>
      <c r="H1464" t="s">
        <v>1890</v>
      </c>
      <c r="I1464">
        <v>-17</v>
      </c>
      <c r="J1464">
        <v>17472</v>
      </c>
      <c r="K1464">
        <v>17472</v>
      </c>
      <c r="L1464">
        <v>17472</v>
      </c>
      <c r="M1464">
        <v>17472</v>
      </c>
      <c r="N1464" t="s">
        <v>45</v>
      </c>
      <c r="O1464">
        <v>1</v>
      </c>
      <c r="P1464" s="3">
        <f t="shared" si="46"/>
        <v>17472</v>
      </c>
      <c r="Q1464" s="3" t="str">
        <f t="shared" si="47"/>
        <v>501717472</v>
      </c>
    </row>
    <row r="1465" spans="1:28" hidden="1">
      <c r="A1465" t="s">
        <v>2005</v>
      </c>
      <c r="B1465" t="s">
        <v>1350</v>
      </c>
      <c r="C1465" t="s">
        <v>69</v>
      </c>
      <c r="D1465" t="s">
        <v>3077</v>
      </c>
      <c r="E1465" t="s">
        <v>2776</v>
      </c>
      <c r="F1465" s="1"/>
      <c r="G1465" t="s">
        <v>3078</v>
      </c>
      <c r="H1465" t="s">
        <v>1890</v>
      </c>
      <c r="I1465">
        <v>-17</v>
      </c>
      <c r="J1465">
        <v>31200</v>
      </c>
      <c r="K1465">
        <v>31200</v>
      </c>
      <c r="L1465">
        <v>31200</v>
      </c>
      <c r="M1465">
        <v>31200</v>
      </c>
      <c r="N1465" t="s">
        <v>45</v>
      </c>
      <c r="O1465">
        <v>1</v>
      </c>
      <c r="P1465" s="3">
        <f t="shared" si="46"/>
        <v>31200</v>
      </c>
      <c r="Q1465" s="3" t="str">
        <f t="shared" si="47"/>
        <v>501831200</v>
      </c>
    </row>
    <row r="1466" spans="1:28" hidden="1">
      <c r="A1466" t="s">
        <v>2005</v>
      </c>
      <c r="B1466" t="s">
        <v>1350</v>
      </c>
      <c r="C1466" t="s">
        <v>69</v>
      </c>
      <c r="D1466" t="s">
        <v>3079</v>
      </c>
      <c r="E1466" t="s">
        <v>2776</v>
      </c>
      <c r="F1466" s="1"/>
      <c r="G1466" t="s">
        <v>3080</v>
      </c>
      <c r="H1466" t="s">
        <v>1890</v>
      </c>
      <c r="I1466">
        <v>-17</v>
      </c>
      <c r="J1466">
        <v>13520</v>
      </c>
      <c r="K1466">
        <v>13520</v>
      </c>
      <c r="L1466">
        <v>13520</v>
      </c>
      <c r="M1466">
        <v>13520</v>
      </c>
      <c r="N1466" t="s">
        <v>45</v>
      </c>
      <c r="O1466">
        <v>1</v>
      </c>
      <c r="P1466" s="3">
        <f t="shared" si="46"/>
        <v>13520</v>
      </c>
      <c r="Q1466" s="3" t="str">
        <f t="shared" si="47"/>
        <v>501913520</v>
      </c>
    </row>
    <row r="1467" spans="1:28" hidden="1">
      <c r="A1467" t="s">
        <v>2005</v>
      </c>
      <c r="B1467" t="s">
        <v>1350</v>
      </c>
      <c r="C1467" t="s">
        <v>69</v>
      </c>
      <c r="D1467" t="s">
        <v>3081</v>
      </c>
      <c r="E1467" t="s">
        <v>2776</v>
      </c>
      <c r="F1467" s="1"/>
      <c r="G1467" t="s">
        <v>3082</v>
      </c>
      <c r="H1467" t="s">
        <v>1890</v>
      </c>
      <c r="I1467">
        <v>-17</v>
      </c>
      <c r="J1467">
        <v>9360</v>
      </c>
      <c r="K1467">
        <v>9360</v>
      </c>
      <c r="L1467">
        <v>9360</v>
      </c>
      <c r="M1467">
        <v>9360</v>
      </c>
      <c r="N1467" t="s">
        <v>45</v>
      </c>
      <c r="O1467">
        <v>1</v>
      </c>
      <c r="P1467" s="3">
        <f t="shared" si="46"/>
        <v>9360</v>
      </c>
      <c r="Q1467" s="3" t="str">
        <f t="shared" si="47"/>
        <v>50209360</v>
      </c>
    </row>
    <row r="1468" spans="1:28" hidden="1">
      <c r="A1468" t="s">
        <v>2005</v>
      </c>
      <c r="B1468" t="s">
        <v>1350</v>
      </c>
      <c r="C1468" t="s">
        <v>69</v>
      </c>
      <c r="D1468" t="s">
        <v>3083</v>
      </c>
      <c r="E1468" t="s">
        <v>2776</v>
      </c>
      <c r="F1468" s="1"/>
      <c r="G1468" t="s">
        <v>2778</v>
      </c>
      <c r="H1468" t="s">
        <v>1890</v>
      </c>
      <c r="I1468">
        <v>-17</v>
      </c>
      <c r="J1468">
        <v>2248</v>
      </c>
      <c r="K1468">
        <v>2248</v>
      </c>
      <c r="L1468">
        <v>2248</v>
      </c>
      <c r="M1468">
        <v>2248</v>
      </c>
      <c r="N1468" t="s">
        <v>45</v>
      </c>
      <c r="O1468">
        <v>1</v>
      </c>
      <c r="P1468" s="3">
        <f t="shared" si="46"/>
        <v>2248</v>
      </c>
      <c r="Q1468" s="3" t="str">
        <f t="shared" si="47"/>
        <v>50212248</v>
      </c>
    </row>
    <row r="1469" spans="1:28" hidden="1">
      <c r="A1469" t="s">
        <v>2005</v>
      </c>
      <c r="B1469" t="s">
        <v>1583</v>
      </c>
      <c r="C1469" t="s">
        <v>69</v>
      </c>
      <c r="D1469" t="s">
        <v>3084</v>
      </c>
      <c r="E1469" t="s">
        <v>2841</v>
      </c>
      <c r="F1469" s="1"/>
      <c r="G1469" t="s">
        <v>3085</v>
      </c>
      <c r="H1469" t="s">
        <v>1890</v>
      </c>
      <c r="I1469">
        <v>-17</v>
      </c>
      <c r="J1469">
        <v>77327.37</v>
      </c>
      <c r="K1469">
        <v>77327.37</v>
      </c>
      <c r="L1469">
        <v>77327.37</v>
      </c>
      <c r="M1469">
        <v>77327.37</v>
      </c>
      <c r="N1469" t="s">
        <v>45</v>
      </c>
      <c r="O1469">
        <v>1</v>
      </c>
      <c r="P1469" s="3">
        <f t="shared" si="46"/>
        <v>77327.37</v>
      </c>
      <c r="Q1469" s="3" t="str">
        <f t="shared" si="47"/>
        <v>TT06877327.37</v>
      </c>
    </row>
    <row r="1470" spans="1:28" hidden="1">
      <c r="A1470" t="s">
        <v>2005</v>
      </c>
      <c r="B1470" t="s">
        <v>1369</v>
      </c>
      <c r="C1470" t="s">
        <v>69</v>
      </c>
      <c r="D1470" t="s">
        <v>3086</v>
      </c>
      <c r="E1470" t="s">
        <v>2846</v>
      </c>
      <c r="F1470" s="1"/>
      <c r="G1470" t="s">
        <v>3087</v>
      </c>
      <c r="H1470" t="s">
        <v>1909</v>
      </c>
      <c r="I1470">
        <v>-18</v>
      </c>
      <c r="J1470">
        <v>6922.44</v>
      </c>
      <c r="K1470">
        <v>6922.44</v>
      </c>
      <c r="L1470">
        <v>6922.44</v>
      </c>
      <c r="M1470">
        <v>6922.44</v>
      </c>
      <c r="N1470" t="s">
        <v>45</v>
      </c>
      <c r="O1470">
        <v>1</v>
      </c>
      <c r="P1470" s="3">
        <f t="shared" si="46"/>
        <v>6922.44</v>
      </c>
      <c r="Q1470" s="3" t="str">
        <f t="shared" si="47"/>
        <v>20260100509526922.44</v>
      </c>
    </row>
    <row r="1471" spans="1:28" hidden="1">
      <c r="A1471" t="s">
        <v>2005</v>
      </c>
      <c r="B1471" t="s">
        <v>1403</v>
      </c>
      <c r="C1471" t="s">
        <v>69</v>
      </c>
      <c r="D1471" t="s">
        <v>3088</v>
      </c>
      <c r="E1471" t="s">
        <v>2537</v>
      </c>
      <c r="F1471" s="1" t="s">
        <v>2538</v>
      </c>
      <c r="G1471" t="s">
        <v>3089</v>
      </c>
      <c r="H1471" t="s">
        <v>1913</v>
      </c>
      <c r="I1471">
        <v>-19</v>
      </c>
      <c r="J1471">
        <v>39120</v>
      </c>
      <c r="K1471">
        <v>39120</v>
      </c>
      <c r="L1471">
        <v>39120</v>
      </c>
      <c r="M1471">
        <v>39120</v>
      </c>
      <c r="N1471" t="s">
        <v>45</v>
      </c>
      <c r="O1471">
        <v>1</v>
      </c>
      <c r="P1471" s="3">
        <f t="shared" si="46"/>
        <v>39120</v>
      </c>
      <c r="Q1471" s="3" t="str">
        <f t="shared" si="47"/>
        <v>INV-USA-00002839120</v>
      </c>
      <c r="R1471" t="s">
        <v>202</v>
      </c>
      <c r="AB1471" t="s">
        <v>445</v>
      </c>
    </row>
    <row r="1472" spans="1:28" hidden="1">
      <c r="A1472" t="s">
        <v>2005</v>
      </c>
      <c r="B1472" t="s">
        <v>761</v>
      </c>
      <c r="C1472" t="s">
        <v>69</v>
      </c>
      <c r="D1472" t="s">
        <v>3090</v>
      </c>
      <c r="E1472" t="s">
        <v>2944</v>
      </c>
      <c r="F1472" s="1" t="s">
        <v>2945</v>
      </c>
      <c r="G1472" t="s">
        <v>3091</v>
      </c>
      <c r="H1472" t="s">
        <v>1931</v>
      </c>
      <c r="I1472">
        <v>-20</v>
      </c>
      <c r="J1472">
        <v>93196.64</v>
      </c>
      <c r="K1472">
        <v>93196.64</v>
      </c>
      <c r="L1472">
        <v>80000</v>
      </c>
      <c r="M1472">
        <v>80000</v>
      </c>
      <c r="N1472" t="s">
        <v>601</v>
      </c>
      <c r="O1472">
        <v>1.1649579999999999</v>
      </c>
      <c r="P1472" s="3">
        <f t="shared" si="46"/>
        <v>80000</v>
      </c>
      <c r="Q1472" s="3" t="str">
        <f t="shared" si="47"/>
        <v>125/0080000</v>
      </c>
      <c r="R1472" t="s">
        <v>2253</v>
      </c>
      <c r="AB1472" t="s">
        <v>1404</v>
      </c>
    </row>
    <row r="1473" spans="1:28" hidden="1">
      <c r="A1473" t="s">
        <v>2005</v>
      </c>
      <c r="B1473" t="s">
        <v>1487</v>
      </c>
      <c r="C1473" t="s">
        <v>69</v>
      </c>
      <c r="D1473" t="s">
        <v>3092</v>
      </c>
      <c r="E1473" t="s">
        <v>2449</v>
      </c>
      <c r="F1473" s="1" t="s">
        <v>2450</v>
      </c>
      <c r="G1473" t="s">
        <v>3093</v>
      </c>
      <c r="H1473" t="s">
        <v>1943</v>
      </c>
      <c r="I1473">
        <v>-22</v>
      </c>
      <c r="J1473">
        <v>23920</v>
      </c>
      <c r="K1473">
        <v>23920</v>
      </c>
      <c r="L1473">
        <v>23920</v>
      </c>
      <c r="M1473">
        <v>23920</v>
      </c>
      <c r="N1473" t="s">
        <v>45</v>
      </c>
      <c r="O1473">
        <v>1</v>
      </c>
      <c r="P1473" s="3">
        <f t="shared" si="46"/>
        <v>23920</v>
      </c>
      <c r="Q1473" s="3" t="str">
        <f t="shared" si="47"/>
        <v>INV0479623920</v>
      </c>
      <c r="R1473" t="s">
        <v>1686</v>
      </c>
      <c r="S1473" t="s">
        <v>60</v>
      </c>
      <c r="T1473" t="s">
        <v>102</v>
      </c>
      <c r="AB1473" t="s">
        <v>1404</v>
      </c>
    </row>
    <row r="1474" spans="1:28" hidden="1">
      <c r="A1474" t="s">
        <v>2005</v>
      </c>
      <c r="B1474" t="s">
        <v>1487</v>
      </c>
      <c r="C1474" t="s">
        <v>69</v>
      </c>
      <c r="D1474" t="s">
        <v>3094</v>
      </c>
      <c r="E1474" t="s">
        <v>3095</v>
      </c>
      <c r="F1474" s="1" t="s">
        <v>3096</v>
      </c>
      <c r="G1474" t="s">
        <v>3097</v>
      </c>
      <c r="H1474" t="s">
        <v>1943</v>
      </c>
      <c r="I1474">
        <v>-22</v>
      </c>
      <c r="J1474">
        <v>5175</v>
      </c>
      <c r="K1474">
        <v>5175</v>
      </c>
      <c r="L1474">
        <v>5175</v>
      </c>
      <c r="M1474">
        <v>5175</v>
      </c>
      <c r="N1474" t="s">
        <v>45</v>
      </c>
      <c r="O1474">
        <v>1</v>
      </c>
      <c r="P1474" s="3">
        <f t="shared" si="46"/>
        <v>5175</v>
      </c>
      <c r="Q1474" s="3" t="str">
        <f t="shared" si="47"/>
        <v>GUSTAVO_202601055175</v>
      </c>
      <c r="R1474" t="s">
        <v>395</v>
      </c>
      <c r="AB1474" t="s">
        <v>1404</v>
      </c>
    </row>
    <row r="1475" spans="1:28" hidden="1">
      <c r="A1475" t="s">
        <v>2005</v>
      </c>
      <c r="B1475" t="s">
        <v>1487</v>
      </c>
      <c r="C1475" t="s">
        <v>69</v>
      </c>
      <c r="D1475" t="s">
        <v>3098</v>
      </c>
      <c r="E1475" t="s">
        <v>2222</v>
      </c>
      <c r="F1475" s="1" t="s">
        <v>2223</v>
      </c>
      <c r="G1475" t="s">
        <v>3099</v>
      </c>
      <c r="H1475" t="s">
        <v>1943</v>
      </c>
      <c r="I1475">
        <v>-22</v>
      </c>
      <c r="J1475">
        <v>975</v>
      </c>
      <c r="K1475">
        <v>975</v>
      </c>
      <c r="L1475">
        <v>975</v>
      </c>
      <c r="M1475">
        <v>975</v>
      </c>
      <c r="N1475" t="s">
        <v>45</v>
      </c>
      <c r="O1475">
        <v>1</v>
      </c>
      <c r="P1475" s="3">
        <f t="shared" si="46"/>
        <v>975</v>
      </c>
      <c r="Q1475" s="3" t="str">
        <f t="shared" si="47"/>
        <v>10342975</v>
      </c>
      <c r="R1475" t="s">
        <v>2167</v>
      </c>
      <c r="AB1475" t="s">
        <v>1404</v>
      </c>
    </row>
    <row r="1476" spans="1:28" hidden="1">
      <c r="A1476" t="s">
        <v>2005</v>
      </c>
      <c r="B1476" t="s">
        <v>1487</v>
      </c>
      <c r="C1476" t="s">
        <v>69</v>
      </c>
      <c r="D1476" t="s">
        <v>3100</v>
      </c>
      <c r="E1476" t="s">
        <v>2123</v>
      </c>
      <c r="F1476" s="1" t="s">
        <v>2124</v>
      </c>
      <c r="G1476" t="s">
        <v>3101</v>
      </c>
      <c r="H1476" t="s">
        <v>1943</v>
      </c>
      <c r="I1476">
        <v>-22</v>
      </c>
      <c r="J1476">
        <v>31200</v>
      </c>
      <c r="K1476">
        <v>31200</v>
      </c>
      <c r="L1476">
        <v>31200</v>
      </c>
      <c r="M1476">
        <v>31200</v>
      </c>
      <c r="N1476" t="s">
        <v>45</v>
      </c>
      <c r="O1476">
        <v>1</v>
      </c>
      <c r="P1476" s="3">
        <f t="shared" si="46"/>
        <v>31200</v>
      </c>
      <c r="Q1476" s="3" t="str">
        <f t="shared" si="47"/>
        <v>1105231200</v>
      </c>
      <c r="R1476" t="s">
        <v>2954</v>
      </c>
      <c r="AB1476" t="s">
        <v>1404</v>
      </c>
    </row>
    <row r="1477" spans="1:28" hidden="1">
      <c r="A1477" t="s">
        <v>2005</v>
      </c>
      <c r="B1477" t="s">
        <v>1487</v>
      </c>
      <c r="C1477" t="s">
        <v>69</v>
      </c>
      <c r="D1477" t="s">
        <v>3102</v>
      </c>
      <c r="E1477" t="s">
        <v>2123</v>
      </c>
      <c r="F1477" s="1" t="s">
        <v>2124</v>
      </c>
      <c r="G1477" t="s">
        <v>3103</v>
      </c>
      <c r="H1477" t="s">
        <v>1943</v>
      </c>
      <c r="I1477">
        <v>-22</v>
      </c>
      <c r="J1477">
        <v>26130</v>
      </c>
      <c r="K1477">
        <v>26130</v>
      </c>
      <c r="L1477">
        <v>26130</v>
      </c>
      <c r="M1477">
        <v>26130</v>
      </c>
      <c r="N1477" t="s">
        <v>45</v>
      </c>
      <c r="O1477">
        <v>1</v>
      </c>
      <c r="P1477" s="3">
        <f t="shared" si="46"/>
        <v>26130</v>
      </c>
      <c r="Q1477" s="3" t="str">
        <f t="shared" si="47"/>
        <v>1105326130</v>
      </c>
      <c r="R1477" t="s">
        <v>399</v>
      </c>
      <c r="AB1477" t="s">
        <v>1404</v>
      </c>
    </row>
    <row r="1478" spans="1:28" hidden="1">
      <c r="A1478" t="s">
        <v>2005</v>
      </c>
      <c r="B1478" t="s">
        <v>1487</v>
      </c>
      <c r="C1478" t="s">
        <v>69</v>
      </c>
      <c r="D1478" t="s">
        <v>3104</v>
      </c>
      <c r="E1478" t="s">
        <v>2123</v>
      </c>
      <c r="F1478" s="1" t="s">
        <v>2124</v>
      </c>
      <c r="G1478" t="s">
        <v>3105</v>
      </c>
      <c r="H1478" t="s">
        <v>1943</v>
      </c>
      <c r="I1478">
        <v>-22</v>
      </c>
      <c r="J1478">
        <v>31200</v>
      </c>
      <c r="K1478">
        <v>31200</v>
      </c>
      <c r="L1478">
        <v>31200</v>
      </c>
      <c r="M1478">
        <v>31200</v>
      </c>
      <c r="N1478" t="s">
        <v>45</v>
      </c>
      <c r="O1478">
        <v>1</v>
      </c>
      <c r="P1478" s="3">
        <f t="shared" si="46"/>
        <v>31200</v>
      </c>
      <c r="Q1478" s="3" t="str">
        <f t="shared" si="47"/>
        <v>1105431200</v>
      </c>
      <c r="R1478" t="s">
        <v>399</v>
      </c>
      <c r="AB1478" t="s">
        <v>1404</v>
      </c>
    </row>
    <row r="1479" spans="1:28" hidden="1">
      <c r="A1479" t="s">
        <v>2005</v>
      </c>
      <c r="B1479" t="s">
        <v>1497</v>
      </c>
      <c r="C1479" t="s">
        <v>69</v>
      </c>
      <c r="D1479" t="s">
        <v>3106</v>
      </c>
      <c r="E1479" t="s">
        <v>2995</v>
      </c>
      <c r="F1479" s="1" t="s">
        <v>3107</v>
      </c>
      <c r="G1479" t="s">
        <v>3108</v>
      </c>
      <c r="H1479" t="s">
        <v>1953</v>
      </c>
      <c r="I1479">
        <v>-23</v>
      </c>
      <c r="J1479">
        <v>63295</v>
      </c>
      <c r="K1479">
        <v>63295</v>
      </c>
      <c r="L1479">
        <v>63295</v>
      </c>
      <c r="M1479">
        <v>63295</v>
      </c>
      <c r="N1479" t="s">
        <v>45</v>
      </c>
      <c r="O1479">
        <v>1</v>
      </c>
      <c r="P1479" s="3">
        <f t="shared" si="46"/>
        <v>63295</v>
      </c>
      <c r="Q1479" s="3" t="str">
        <f t="shared" si="47"/>
        <v>08448763295</v>
      </c>
      <c r="R1479" t="s">
        <v>3109</v>
      </c>
      <c r="AB1479" t="s">
        <v>1404</v>
      </c>
    </row>
    <row r="1480" spans="1:28" hidden="1">
      <c r="A1480" t="s">
        <v>2005</v>
      </c>
      <c r="B1480" t="s">
        <v>1506</v>
      </c>
      <c r="C1480" t="s">
        <v>69</v>
      </c>
      <c r="D1480" t="s">
        <v>3110</v>
      </c>
      <c r="E1480" t="s">
        <v>3111</v>
      </c>
      <c r="F1480" s="1"/>
      <c r="G1480" t="s">
        <v>3112</v>
      </c>
      <c r="H1480" t="s">
        <v>1971</v>
      </c>
      <c r="I1480">
        <v>-24</v>
      </c>
      <c r="J1480">
        <v>82791.820000000007</v>
      </c>
      <c r="K1480">
        <v>82791.820000000007</v>
      </c>
      <c r="L1480">
        <v>82791.820000000007</v>
      </c>
      <c r="M1480">
        <v>82791.820000000007</v>
      </c>
      <c r="N1480" t="s">
        <v>45</v>
      </c>
      <c r="O1480">
        <v>1</v>
      </c>
      <c r="P1480" s="3">
        <f t="shared" si="46"/>
        <v>82791.820000000007</v>
      </c>
      <c r="Q1480" s="3" t="str">
        <f t="shared" si="47"/>
        <v>00220582791.82</v>
      </c>
    </row>
    <row r="1481" spans="1:28" hidden="1">
      <c r="A1481" t="s">
        <v>2005</v>
      </c>
      <c r="B1481" t="s">
        <v>1531</v>
      </c>
      <c r="C1481" t="s">
        <v>69</v>
      </c>
      <c r="D1481" t="s">
        <v>3113</v>
      </c>
      <c r="E1481" t="s">
        <v>2009</v>
      </c>
      <c r="F1481" s="1"/>
      <c r="G1481" t="s">
        <v>3114</v>
      </c>
      <c r="H1481" t="s">
        <v>1985</v>
      </c>
      <c r="I1481">
        <v>-25</v>
      </c>
      <c r="J1481">
        <v>11606.44</v>
      </c>
      <c r="K1481">
        <v>11606.44</v>
      </c>
      <c r="L1481">
        <v>11606.44</v>
      </c>
      <c r="M1481">
        <v>11606.44</v>
      </c>
      <c r="N1481" t="s">
        <v>45</v>
      </c>
      <c r="O1481">
        <v>1</v>
      </c>
      <c r="P1481" s="3">
        <f t="shared" si="46"/>
        <v>11606.44</v>
      </c>
      <c r="Q1481" s="3" t="str">
        <f t="shared" si="47"/>
        <v>AH5YA2S11606.44</v>
      </c>
    </row>
    <row r="1482" spans="1:28" hidden="1">
      <c r="A1482" t="s">
        <v>2005</v>
      </c>
      <c r="B1482" t="s">
        <v>1562</v>
      </c>
      <c r="C1482" t="s">
        <v>69</v>
      </c>
      <c r="D1482" t="s">
        <v>3115</v>
      </c>
      <c r="E1482" t="s">
        <v>3011</v>
      </c>
      <c r="F1482" s="1"/>
      <c r="G1482" t="s">
        <v>3116</v>
      </c>
      <c r="H1482" t="s">
        <v>1993</v>
      </c>
      <c r="I1482">
        <v>-26</v>
      </c>
      <c r="J1482">
        <v>20160</v>
      </c>
      <c r="K1482">
        <v>20160</v>
      </c>
      <c r="L1482">
        <v>20160</v>
      </c>
      <c r="M1482">
        <v>20160</v>
      </c>
      <c r="N1482" t="s">
        <v>45</v>
      </c>
      <c r="O1482">
        <v>1</v>
      </c>
      <c r="P1482" s="3">
        <f t="shared" si="46"/>
        <v>20160</v>
      </c>
      <c r="Q1482" s="3" t="str">
        <f t="shared" si="47"/>
        <v>627420160</v>
      </c>
    </row>
    <row r="1483" spans="1:28" hidden="1">
      <c r="A1483" t="s">
        <v>2005</v>
      </c>
      <c r="B1483" t="s">
        <v>1562</v>
      </c>
      <c r="C1483" t="s">
        <v>69</v>
      </c>
      <c r="D1483" t="s">
        <v>3117</v>
      </c>
      <c r="E1483" t="s">
        <v>3011</v>
      </c>
      <c r="F1483" s="1"/>
      <c r="G1483" t="s">
        <v>3118</v>
      </c>
      <c r="H1483" t="s">
        <v>1993</v>
      </c>
      <c r="I1483">
        <v>-26</v>
      </c>
      <c r="J1483">
        <v>10625</v>
      </c>
      <c r="K1483">
        <v>10625</v>
      </c>
      <c r="L1483">
        <v>10625</v>
      </c>
      <c r="M1483">
        <v>10625</v>
      </c>
      <c r="N1483" t="s">
        <v>45</v>
      </c>
      <c r="O1483">
        <v>1</v>
      </c>
      <c r="P1483" s="3">
        <f t="shared" si="46"/>
        <v>10625</v>
      </c>
      <c r="Q1483" s="3" t="str">
        <f t="shared" si="47"/>
        <v>627510625</v>
      </c>
    </row>
    <row r="1484" spans="1:28" hidden="1">
      <c r="A1484" t="s">
        <v>2005</v>
      </c>
      <c r="B1484" t="s">
        <v>1617</v>
      </c>
      <c r="C1484" t="s">
        <v>69</v>
      </c>
      <c r="D1484" t="s">
        <v>3119</v>
      </c>
      <c r="E1484" t="s">
        <v>2098</v>
      </c>
      <c r="F1484" s="1"/>
      <c r="G1484" t="s">
        <v>2650</v>
      </c>
      <c r="H1484" t="s">
        <v>3120</v>
      </c>
      <c r="I1484">
        <v>-29</v>
      </c>
      <c r="J1484">
        <v>7837.5</v>
      </c>
      <c r="K1484">
        <v>7837.5</v>
      </c>
      <c r="L1484">
        <v>7837.5</v>
      </c>
      <c r="M1484">
        <v>7837.5</v>
      </c>
      <c r="N1484" t="s">
        <v>45</v>
      </c>
      <c r="O1484">
        <v>1</v>
      </c>
      <c r="P1484" s="3">
        <f t="shared" si="46"/>
        <v>7837.5</v>
      </c>
      <c r="Q1484" s="3" t="str">
        <f t="shared" si="47"/>
        <v>SIN0700907837.5</v>
      </c>
    </row>
    <row r="1485" spans="1:28" hidden="1">
      <c r="A1485" t="s">
        <v>3121</v>
      </c>
      <c r="B1485" t="s">
        <v>3122</v>
      </c>
      <c r="C1485" t="s">
        <v>31</v>
      </c>
      <c r="D1485" t="s">
        <v>32</v>
      </c>
      <c r="E1485" t="s">
        <v>3123</v>
      </c>
      <c r="F1485" s="1" t="s">
        <v>2305</v>
      </c>
      <c r="G1485" t="s">
        <v>35</v>
      </c>
      <c r="H1485" t="s">
        <v>3122</v>
      </c>
      <c r="I1485">
        <v>309</v>
      </c>
      <c r="J1485">
        <v>-959</v>
      </c>
      <c r="K1485">
        <v>-959</v>
      </c>
      <c r="L1485">
        <v>-959</v>
      </c>
      <c r="M1485">
        <v>-959</v>
      </c>
      <c r="N1485" t="s">
        <v>45</v>
      </c>
      <c r="O1485">
        <v>1</v>
      </c>
      <c r="P1485" s="3">
        <f t="shared" si="46"/>
        <v>-959</v>
      </c>
      <c r="Q1485" s="3" t="str">
        <f t="shared" si="47"/>
        <v>-959</v>
      </c>
      <c r="R1485" t="s">
        <v>2121</v>
      </c>
      <c r="S1485" t="s">
        <v>60</v>
      </c>
      <c r="AA1485" t="s">
        <v>39</v>
      </c>
      <c r="AB1485" t="s">
        <v>40</v>
      </c>
    </row>
    <row r="1486" spans="1:28" hidden="1">
      <c r="A1486" t="s">
        <v>3121</v>
      </c>
      <c r="B1486" t="s">
        <v>260</v>
      </c>
      <c r="C1486" t="s">
        <v>69</v>
      </c>
      <c r="D1486" t="s">
        <v>3124</v>
      </c>
      <c r="E1486" t="s">
        <v>3125</v>
      </c>
      <c r="F1486" s="1" t="s">
        <v>3126</v>
      </c>
      <c r="G1486" t="s">
        <v>3127</v>
      </c>
      <c r="H1486" t="s">
        <v>504</v>
      </c>
      <c r="I1486">
        <v>58</v>
      </c>
      <c r="J1486">
        <v>41993.82</v>
      </c>
      <c r="K1486">
        <v>41993.82</v>
      </c>
      <c r="L1486">
        <v>41993.82</v>
      </c>
      <c r="M1486">
        <v>41993.82</v>
      </c>
      <c r="N1486" t="s">
        <v>45</v>
      </c>
      <c r="O1486">
        <v>1</v>
      </c>
      <c r="P1486" s="3">
        <f t="shared" si="46"/>
        <v>41993.82</v>
      </c>
      <c r="Q1486" s="3" t="str">
        <f t="shared" si="47"/>
        <v>301317941993.82</v>
      </c>
      <c r="R1486" t="s">
        <v>2167</v>
      </c>
      <c r="S1486" t="s">
        <v>60</v>
      </c>
    </row>
    <row r="1487" spans="1:28" hidden="1">
      <c r="A1487" t="s">
        <v>3121</v>
      </c>
      <c r="B1487" t="s">
        <v>273</v>
      </c>
      <c r="C1487" t="s">
        <v>69</v>
      </c>
      <c r="D1487" t="s">
        <v>3128</v>
      </c>
      <c r="E1487" t="s">
        <v>3125</v>
      </c>
      <c r="F1487" s="1" t="s">
        <v>3126</v>
      </c>
      <c r="G1487" t="s">
        <v>3127</v>
      </c>
      <c r="H1487" t="s">
        <v>553</v>
      </c>
      <c r="I1487">
        <v>52</v>
      </c>
      <c r="J1487">
        <v>80.319999999999993</v>
      </c>
      <c r="K1487">
        <v>80.319999999999993</v>
      </c>
      <c r="L1487">
        <v>80.319999999999993</v>
      </c>
      <c r="M1487">
        <v>80.319999999999993</v>
      </c>
      <c r="N1487" t="s">
        <v>45</v>
      </c>
      <c r="O1487">
        <v>1</v>
      </c>
      <c r="P1487" s="3">
        <f t="shared" si="46"/>
        <v>80.319999999999993</v>
      </c>
      <c r="Q1487" s="3" t="str">
        <f t="shared" si="47"/>
        <v>301479380.32</v>
      </c>
      <c r="R1487" t="s">
        <v>2121</v>
      </c>
      <c r="S1487" t="s">
        <v>233</v>
      </c>
    </row>
    <row r="1488" spans="1:28" hidden="1">
      <c r="A1488" t="s">
        <v>3121</v>
      </c>
      <c r="B1488" t="s">
        <v>390</v>
      </c>
      <c r="C1488" t="s">
        <v>69</v>
      </c>
      <c r="D1488" t="s">
        <v>3129</v>
      </c>
      <c r="E1488" t="s">
        <v>3130</v>
      </c>
      <c r="F1488" s="1" t="s">
        <v>3131</v>
      </c>
      <c r="G1488" t="s">
        <v>3132</v>
      </c>
      <c r="H1488" t="s">
        <v>835</v>
      </c>
      <c r="I1488">
        <v>37</v>
      </c>
      <c r="J1488">
        <v>5552.76</v>
      </c>
      <c r="K1488">
        <v>5552.76</v>
      </c>
      <c r="L1488">
        <v>5552.76</v>
      </c>
      <c r="M1488">
        <v>5552.76</v>
      </c>
      <c r="N1488" t="s">
        <v>45</v>
      </c>
      <c r="O1488">
        <v>1</v>
      </c>
      <c r="P1488" s="3">
        <f t="shared" si="46"/>
        <v>5552.76</v>
      </c>
      <c r="Q1488" s="3" t="str">
        <f t="shared" si="47"/>
        <v>20250930-69470-A5552.76</v>
      </c>
      <c r="R1488" t="s">
        <v>3133</v>
      </c>
      <c r="AB1488" t="s">
        <v>85</v>
      </c>
    </row>
    <row r="1489" spans="1:28" hidden="1">
      <c r="A1489" t="s">
        <v>3121</v>
      </c>
      <c r="B1489" t="s">
        <v>895</v>
      </c>
      <c r="C1489" t="s">
        <v>69</v>
      </c>
      <c r="D1489" t="s">
        <v>3134</v>
      </c>
      <c r="E1489" t="s">
        <v>3123</v>
      </c>
      <c r="F1489" s="1"/>
      <c r="G1489" t="s">
        <v>3135</v>
      </c>
      <c r="H1489" t="s">
        <v>895</v>
      </c>
      <c r="I1489">
        <v>33</v>
      </c>
      <c r="J1489">
        <v>35976</v>
      </c>
      <c r="K1489">
        <v>2922</v>
      </c>
      <c r="L1489">
        <v>35976</v>
      </c>
      <c r="M1489">
        <v>2922</v>
      </c>
      <c r="N1489" t="s">
        <v>45</v>
      </c>
      <c r="O1489">
        <v>1</v>
      </c>
      <c r="P1489" s="3">
        <f t="shared" si="46"/>
        <v>2922</v>
      </c>
      <c r="Q1489" s="3" t="str">
        <f t="shared" si="47"/>
        <v>59030232922</v>
      </c>
    </row>
    <row r="1490" spans="1:28" hidden="1">
      <c r="A1490" t="s">
        <v>3121</v>
      </c>
      <c r="B1490" t="s">
        <v>451</v>
      </c>
      <c r="C1490" t="s">
        <v>69</v>
      </c>
      <c r="D1490" t="s">
        <v>3136</v>
      </c>
      <c r="E1490" t="s">
        <v>3125</v>
      </c>
      <c r="F1490" s="1" t="s">
        <v>3126</v>
      </c>
      <c r="G1490" t="s">
        <v>3137</v>
      </c>
      <c r="H1490" t="s">
        <v>944</v>
      </c>
      <c r="I1490">
        <v>31</v>
      </c>
      <c r="J1490">
        <v>25558.799999999999</v>
      </c>
      <c r="K1490">
        <v>25558.799999999999</v>
      </c>
      <c r="L1490">
        <v>25558.799999999999</v>
      </c>
      <c r="M1490">
        <v>25558.799999999999</v>
      </c>
      <c r="N1490" t="s">
        <v>45</v>
      </c>
      <c r="O1490">
        <v>1</v>
      </c>
      <c r="P1490" s="3">
        <f t="shared" si="46"/>
        <v>25558.799999999999</v>
      </c>
      <c r="Q1490" s="3" t="str">
        <f t="shared" si="47"/>
        <v>302327025558.8</v>
      </c>
      <c r="R1490" t="s">
        <v>2167</v>
      </c>
      <c r="S1490" t="s">
        <v>60</v>
      </c>
    </row>
    <row r="1491" spans="1:28" hidden="1">
      <c r="A1491" t="s">
        <v>3121</v>
      </c>
      <c r="B1491" t="s">
        <v>544</v>
      </c>
      <c r="C1491" t="s">
        <v>69</v>
      </c>
      <c r="D1491" t="s">
        <v>3138</v>
      </c>
      <c r="E1491" t="s">
        <v>3125</v>
      </c>
      <c r="F1491" s="1" t="s">
        <v>3126</v>
      </c>
      <c r="G1491" t="s">
        <v>3139</v>
      </c>
      <c r="H1491" t="s">
        <v>1135</v>
      </c>
      <c r="I1491">
        <v>23</v>
      </c>
      <c r="J1491">
        <v>529.54999999999995</v>
      </c>
      <c r="K1491">
        <v>529.54999999999995</v>
      </c>
      <c r="L1491">
        <v>529.54999999999995</v>
      </c>
      <c r="M1491">
        <v>529.54999999999995</v>
      </c>
      <c r="N1491" t="s">
        <v>45</v>
      </c>
      <c r="O1491">
        <v>1</v>
      </c>
      <c r="P1491" s="3">
        <f t="shared" si="46"/>
        <v>529.54999999999995</v>
      </c>
      <c r="Q1491" s="3" t="str">
        <f t="shared" si="47"/>
        <v>3028174529.55</v>
      </c>
      <c r="R1491" t="s">
        <v>186</v>
      </c>
    </row>
    <row r="1492" spans="1:28" hidden="1">
      <c r="A1492" t="s">
        <v>3121</v>
      </c>
      <c r="B1492" t="s">
        <v>1350</v>
      </c>
      <c r="C1492" t="s">
        <v>51</v>
      </c>
      <c r="D1492" t="s">
        <v>3140</v>
      </c>
      <c r="E1492" t="s">
        <v>3141</v>
      </c>
      <c r="F1492" s="1"/>
      <c r="G1492" t="s">
        <v>3142</v>
      </c>
      <c r="H1492" t="s">
        <v>1350</v>
      </c>
      <c r="I1492">
        <v>13</v>
      </c>
      <c r="J1492">
        <v>-5442.29</v>
      </c>
      <c r="K1492">
        <v>-5442.2857467599997</v>
      </c>
      <c r="L1492">
        <v>-4638.57</v>
      </c>
      <c r="M1492">
        <v>-4638.57</v>
      </c>
      <c r="N1492" t="s">
        <v>601</v>
      </c>
      <c r="O1492">
        <v>1.173268</v>
      </c>
      <c r="P1492" s="3">
        <f t="shared" si="46"/>
        <v>-4638.57</v>
      </c>
      <c r="Q1492" s="3" t="str">
        <f t="shared" si="47"/>
        <v>2025-1907-4638.57</v>
      </c>
    </row>
    <row r="1493" spans="1:28" hidden="1">
      <c r="A1493" t="s">
        <v>3121</v>
      </c>
      <c r="B1493" t="s">
        <v>872</v>
      </c>
      <c r="C1493" t="s">
        <v>69</v>
      </c>
      <c r="D1493" t="s">
        <v>3143</v>
      </c>
      <c r="E1493" t="s">
        <v>3125</v>
      </c>
      <c r="F1493" s="1" t="s">
        <v>3126</v>
      </c>
      <c r="G1493" t="s">
        <v>3139</v>
      </c>
      <c r="H1493" t="s">
        <v>1562</v>
      </c>
      <c r="I1493">
        <v>4</v>
      </c>
      <c r="J1493">
        <v>89084.5</v>
      </c>
      <c r="K1493">
        <v>89084.5</v>
      </c>
      <c r="L1493">
        <v>89084.5</v>
      </c>
      <c r="M1493">
        <v>89084.5</v>
      </c>
      <c r="N1493" t="s">
        <v>45</v>
      </c>
      <c r="O1493">
        <v>1</v>
      </c>
      <c r="P1493" s="3">
        <f t="shared" si="46"/>
        <v>89084.5</v>
      </c>
      <c r="Q1493" s="3" t="str">
        <f t="shared" si="47"/>
        <v>303769289084.5</v>
      </c>
      <c r="AB1493" t="s">
        <v>1404</v>
      </c>
    </row>
    <row r="1494" spans="1:28" hidden="1">
      <c r="A1494" t="s">
        <v>3121</v>
      </c>
      <c r="B1494" t="s">
        <v>918</v>
      </c>
      <c r="C1494" t="s">
        <v>69</v>
      </c>
      <c r="D1494" t="s">
        <v>3144</v>
      </c>
      <c r="E1494" t="s">
        <v>3125</v>
      </c>
      <c r="F1494" s="1" t="s">
        <v>3126</v>
      </c>
      <c r="G1494" t="s">
        <v>3139</v>
      </c>
      <c r="H1494" t="s">
        <v>1609</v>
      </c>
      <c r="I1494">
        <v>2</v>
      </c>
      <c r="J1494">
        <v>837.25</v>
      </c>
      <c r="K1494">
        <v>837.25</v>
      </c>
      <c r="L1494">
        <v>837.25</v>
      </c>
      <c r="M1494">
        <v>837.25</v>
      </c>
      <c r="N1494" t="s">
        <v>45</v>
      </c>
      <c r="O1494">
        <v>1</v>
      </c>
      <c r="P1494" s="3">
        <f t="shared" si="46"/>
        <v>837.25</v>
      </c>
      <c r="Q1494" s="3" t="str">
        <f t="shared" si="47"/>
        <v>3038880837.25</v>
      </c>
      <c r="AB1494" t="s">
        <v>1404</v>
      </c>
    </row>
    <row r="1495" spans="1:28" hidden="1">
      <c r="A1495" t="s">
        <v>3121</v>
      </c>
      <c r="B1495" t="s">
        <v>918</v>
      </c>
      <c r="C1495" t="s">
        <v>69</v>
      </c>
      <c r="D1495" t="s">
        <v>3145</v>
      </c>
      <c r="E1495" t="s">
        <v>3125</v>
      </c>
      <c r="F1495" s="1" t="s">
        <v>3126</v>
      </c>
      <c r="G1495" t="s">
        <v>3139</v>
      </c>
      <c r="H1495" t="s">
        <v>1609</v>
      </c>
      <c r="I1495">
        <v>2</v>
      </c>
      <c r="J1495">
        <v>259436.72</v>
      </c>
      <c r="K1495">
        <v>259436.72</v>
      </c>
      <c r="L1495">
        <v>259436.72</v>
      </c>
      <c r="M1495">
        <v>259436.72</v>
      </c>
      <c r="N1495" t="s">
        <v>45</v>
      </c>
      <c r="O1495">
        <v>1</v>
      </c>
      <c r="P1495" s="3">
        <f t="shared" si="46"/>
        <v>259436.72</v>
      </c>
      <c r="Q1495" s="3" t="str">
        <f t="shared" si="47"/>
        <v>3039057259436.72</v>
      </c>
      <c r="AB1495" t="s">
        <v>1404</v>
      </c>
    </row>
    <row r="1496" spans="1:28" ht="16.5"/>
    <row r="1497" spans="1:28" ht="16.5"/>
  </sheetData>
  <autoFilter ref="A1:AD1495" xr:uid="{8D4B3FEF-A70D-B944-82F4-C9836B181100}">
    <filterColumn colId="4">
      <filters>
        <filter val="The Collective"/>
      </filters>
    </filterColumn>
  </autoFilter>
  <phoneticPr fontId="3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3C1326ECF0CA44A19A9E6A535F676D" ma:contentTypeVersion="10" ma:contentTypeDescription="Create a new document." ma:contentTypeScope="" ma:versionID="c249b5d09d690e9d6346e5093100450f">
  <xsd:schema xmlns:xsd="http://www.w3.org/2001/XMLSchema" xmlns:xs="http://www.w3.org/2001/XMLSchema" xmlns:p="http://schemas.microsoft.com/office/2006/metadata/properties" xmlns:ns1="http://schemas.microsoft.com/sharepoint/v3" xmlns:ns2="cf188f55-0f6f-4dba-a0dc-98800845a25e" targetNamespace="http://schemas.microsoft.com/office/2006/metadata/properties" ma:root="true" ma:fieldsID="4cf8aa2426c1cc92d75b225a78106116" ns1:_="" ns2:_="">
    <xsd:import namespace="http://schemas.microsoft.com/sharepoint/v3"/>
    <xsd:import namespace="cf188f55-0f6f-4dba-a0dc-98800845a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88f55-0f6f-4dba-a0dc-98800845a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AF5C9B-AF85-495E-849A-06A97AE204B1}"/>
</file>

<file path=customXml/itemProps2.xml><?xml version="1.0" encoding="utf-8"?>
<ds:datastoreItem xmlns:ds="http://schemas.openxmlformats.org/officeDocument/2006/customXml" ds:itemID="{90A04FFA-1B86-42B4-9252-6160EDCCC4DC}"/>
</file>

<file path=customXml/itemProps3.xml><?xml version="1.0" encoding="utf-8"?>
<ds:datastoreItem xmlns:ds="http://schemas.openxmlformats.org/officeDocument/2006/customXml" ds:itemID="{8688762A-7366-4F05-9744-1F4D7717C3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James Donald</cp:lastModifiedBy>
  <cp:revision/>
  <dcterms:created xsi:type="dcterms:W3CDTF">2022-03-24T08:55:57Z</dcterms:created>
  <dcterms:modified xsi:type="dcterms:W3CDTF">2026-01-13T21:16:50Z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0x010100283C1326ECF0CA44A19A9E6A535F676D</vt:lpwstr>
  </property>
</Properties>
</file>